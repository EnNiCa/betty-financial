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marpa\Desktop\TFM\"/>
    </mc:Choice>
  </mc:AlternateContent>
  <xr:revisionPtr revIDLastSave="0" documentId="13_ncr:1_{D271EE57-5869-4087-AD16-9EEC07DA872B}" xr6:coauthVersionLast="47" xr6:coauthVersionMax="47" xr10:uidLastSave="{00000000-0000-0000-0000-000000000000}"/>
  <bookViews>
    <workbookView xWindow="-108" yWindow="-108" windowWidth="23256" windowHeight="12456" activeTab="3" xr2:uid="{813E5563-35DC-4009-A092-CB7D163F4E91}"/>
  </bookViews>
  <sheets>
    <sheet name="Hoja1" sheetId="1" r:id="rId1"/>
    <sheet name="Hoja2" sheetId="2" r:id="rId2"/>
    <sheet name="Hoja3" sheetId="3" r:id="rId3"/>
    <sheet name="calculos" sheetId="4" r:id="rId4"/>
  </sheets>
  <definedNames>
    <definedName name="_xlnm._FilterDatabase" localSheetId="3" hidden="1">calculos!$A$1:$Q$164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59" i="4" l="1"/>
  <c r="P134" i="4"/>
  <c r="B194" i="4"/>
  <c r="B190" i="4"/>
  <c r="B183" i="4"/>
  <c r="B180" i="4"/>
  <c r="B178" i="4" s="1"/>
  <c r="C176" i="4"/>
  <c r="G169" i="4"/>
  <c r="G170" i="4" s="1"/>
  <c r="F168" i="4"/>
  <c r="F169" i="4"/>
  <c r="F167" i="4"/>
  <c r="G3" i="4"/>
  <c r="P164" i="4"/>
  <c r="P163" i="4"/>
  <c r="P162" i="4"/>
  <c r="P158" i="4"/>
  <c r="P157" i="4"/>
  <c r="P156" i="4"/>
  <c r="P155" i="4"/>
  <c r="P154" i="4"/>
  <c r="P153" i="4"/>
  <c r="P152" i="4"/>
  <c r="P151" i="4"/>
  <c r="P150" i="4"/>
  <c r="P149" i="4"/>
  <c r="P148" i="4"/>
  <c r="P147" i="4"/>
  <c r="P146" i="4"/>
  <c r="P145" i="4"/>
  <c r="P144" i="4"/>
  <c r="P143" i="4"/>
  <c r="P142" i="4"/>
  <c r="P141" i="4"/>
  <c r="P140" i="4"/>
  <c r="P139" i="4"/>
  <c r="P138" i="4"/>
  <c r="P137" i="4"/>
  <c r="P133" i="4"/>
  <c r="P132" i="4"/>
  <c r="P131" i="4"/>
  <c r="P130" i="4"/>
  <c r="P129" i="4"/>
  <c r="P128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4" i="2"/>
  <c r="G4" i="4" l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l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7" i="4" l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34" i="4"/>
  <c r="G135" i="4" s="1"/>
  <c r="G136" i="4" s="1"/>
  <c r="G162" i="4" l="1"/>
  <c r="G163" i="4" s="1"/>
  <c r="G164" i="4" s="1"/>
  <c r="G159" i="4"/>
  <c r="G160" i="4" s="1"/>
  <c r="G161" i="4" s="1"/>
</calcChain>
</file>

<file path=xl/sharedStrings.xml><?xml version="1.0" encoding="utf-8"?>
<sst xmlns="http://schemas.openxmlformats.org/spreadsheetml/2006/main" count="3574" uniqueCount="284">
  <si>
    <t>Nº</t>
  </si>
  <si>
    <t>Campo</t>
  </si>
  <si>
    <t>Tipo de Dato</t>
  </si>
  <si>
    <t>Descripción / Ejemplo</t>
  </si>
  <si>
    <t>Fecha</t>
  </si>
  <si>
    <t>Fecha (DD/MM/AAAA)</t>
  </si>
  <si>
    <t>Vital para el análisis de series temporales y proyecciones.</t>
  </si>
  <si>
    <t>Concepto</t>
  </si>
  <si>
    <t>Texto</t>
  </si>
  <si>
    <t>Descripción breve (Ej: "Sueldo Desarrollador", "Venta Suscripción Pro").</t>
  </si>
  <si>
    <t>Tipo</t>
  </si>
  <si>
    <t>Categoría</t>
  </si>
  <si>
    <r>
      <t>Ingreso</t>
    </r>
    <r>
      <rPr>
        <sz val="11"/>
        <color rgb="FF1F1F1F"/>
        <rFont val="Arial"/>
        <family val="2"/>
      </rPr>
      <t xml:space="preserve"> o </t>
    </r>
    <r>
      <rPr>
        <b/>
        <sz val="11"/>
        <color rgb="FF1F1F1F"/>
        <rFont val="Arial"/>
        <family val="2"/>
      </rPr>
      <t>Gasto</t>
    </r>
    <r>
      <rPr>
        <sz val="11"/>
        <color rgb="FF1F1F1F"/>
        <rFont val="Arial"/>
        <family val="2"/>
      </rPr>
      <t>. Es la base para calcular el flujo de caja neto.</t>
    </r>
  </si>
  <si>
    <t>Marketing, Salarios, Software, Ventas, Impuestos, Operaciones.</t>
  </si>
  <si>
    <t>Subcategoría</t>
  </si>
  <si>
    <t>(Opcional pero recomendado) Ej: "Facebook Ads" dentro de Marketing.</t>
  </si>
  <si>
    <t>Importe</t>
  </si>
  <si>
    <t>Numérico</t>
  </si>
  <si>
    <t>Valor monetario (siempre positivo, el "Tipo" indicará el signo).</t>
  </si>
  <si>
    <t>Recurrencia</t>
  </si>
  <si>
    <t>Booleano (Sí/No)</t>
  </si>
  <si>
    <t>¿Es un gasto/ingreso mensual fijo? (Clave para calcular el MRR).</t>
  </si>
  <si>
    <t>Método</t>
  </si>
  <si>
    <t>Banco, Stripe, PayPal, Efectivo. (Ayuda a ver de dónde viene el dinero).</t>
  </si>
  <si>
    <t>Estado</t>
  </si>
  <si>
    <r>
      <t>Pagado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Pendiente</t>
    </r>
    <r>
      <rPr>
        <sz val="11"/>
        <color rgb="FF1F1F1F"/>
        <rFont val="Arial"/>
        <family val="2"/>
      </rPr>
      <t xml:space="preserve"> o </t>
    </r>
    <r>
      <rPr>
        <b/>
        <sz val="11"/>
        <color rgb="FF1F1F1F"/>
        <rFont val="Arial"/>
        <family val="2"/>
      </rPr>
      <t>Estimado</t>
    </r>
    <r>
      <rPr>
        <sz val="11"/>
        <color rgb="FF1F1F1F"/>
        <rFont val="Arial"/>
        <family val="2"/>
      </rPr>
      <t xml:space="preserve"> (útil para previsiones futuras).</t>
    </r>
  </si>
  <si>
    <t>ID Cliente/Proveedor</t>
  </si>
  <si>
    <t>Alfanumérico</t>
  </si>
  <si>
    <t>Para identificar concentración de ingresos o gastos en un solo agente.</t>
  </si>
  <si>
    <t>Sueldo desarrollador</t>
  </si>
  <si>
    <t>G</t>
  </si>
  <si>
    <t>Caja inicial</t>
  </si>
  <si>
    <t>B</t>
  </si>
  <si>
    <t>Caja Inicial</t>
  </si>
  <si>
    <t>Desarrollo</t>
  </si>
  <si>
    <t>I</t>
  </si>
  <si>
    <t>F</t>
  </si>
  <si>
    <t>Banco</t>
  </si>
  <si>
    <t>Pagado</t>
  </si>
  <si>
    <t>DW001</t>
  </si>
  <si>
    <t>Venta</t>
  </si>
  <si>
    <t>Paypal</t>
  </si>
  <si>
    <t>CL001</t>
  </si>
  <si>
    <t>CL004</t>
  </si>
  <si>
    <t>CL005</t>
  </si>
  <si>
    <t>CL006</t>
  </si>
  <si>
    <t>CL007</t>
  </si>
  <si>
    <t>CL008</t>
  </si>
  <si>
    <t>CL009</t>
  </si>
  <si>
    <t>CL010</t>
  </si>
  <si>
    <t>CL011</t>
  </si>
  <si>
    <t>Pago Ads</t>
  </si>
  <si>
    <t>Pagos Mk</t>
  </si>
  <si>
    <t>Google Ads</t>
  </si>
  <si>
    <t>V</t>
  </si>
  <si>
    <t>DW002</t>
  </si>
  <si>
    <t>CL012</t>
  </si>
  <si>
    <t>CL013</t>
  </si>
  <si>
    <t>CL014</t>
  </si>
  <si>
    <t>CL015</t>
  </si>
  <si>
    <t>CL016</t>
  </si>
  <si>
    <t>CL017</t>
  </si>
  <si>
    <t>CL018</t>
  </si>
  <si>
    <t>CL019</t>
  </si>
  <si>
    <t>CL020</t>
  </si>
  <si>
    <t>CL021</t>
  </si>
  <si>
    <t>CL022</t>
  </si>
  <si>
    <t>CL023</t>
  </si>
  <si>
    <t>CL024</t>
  </si>
  <si>
    <t>CL025</t>
  </si>
  <si>
    <t>CL026</t>
  </si>
  <si>
    <t>CL027</t>
  </si>
  <si>
    <t>CL028</t>
  </si>
  <si>
    <t>CL029</t>
  </si>
  <si>
    <t>CL030</t>
  </si>
  <si>
    <t>CL031</t>
  </si>
  <si>
    <t>CL032</t>
  </si>
  <si>
    <t>CL033</t>
  </si>
  <si>
    <t>CL034</t>
  </si>
  <si>
    <t>CL035</t>
  </si>
  <si>
    <t>CL036</t>
  </si>
  <si>
    <t>CL037</t>
  </si>
  <si>
    <t>CL038</t>
  </si>
  <si>
    <t>CL039</t>
  </si>
  <si>
    <t>CL040</t>
  </si>
  <si>
    <t>CL041</t>
  </si>
  <si>
    <t>CL042</t>
  </si>
  <si>
    <t>CL043</t>
  </si>
  <si>
    <t>CL044</t>
  </si>
  <si>
    <t>CL045</t>
  </si>
  <si>
    <t>CL046</t>
  </si>
  <si>
    <t>CL047</t>
  </si>
  <si>
    <t>CL048</t>
  </si>
  <si>
    <t>CL049</t>
  </si>
  <si>
    <t>CL050</t>
  </si>
  <si>
    <t>CL051</t>
  </si>
  <si>
    <t>CL052</t>
  </si>
  <si>
    <t>CL053</t>
  </si>
  <si>
    <t>CL054</t>
  </si>
  <si>
    <t>CL055</t>
  </si>
  <si>
    <t>CL056</t>
  </si>
  <si>
    <t>CL057</t>
  </si>
  <si>
    <t>CL058</t>
  </si>
  <si>
    <t>CL059</t>
  </si>
  <si>
    <t>CL060</t>
  </si>
  <si>
    <t>CL061</t>
  </si>
  <si>
    <t>CL062</t>
  </si>
  <si>
    <t>CL063</t>
  </si>
  <si>
    <t>CL064</t>
  </si>
  <si>
    <t>CL065</t>
  </si>
  <si>
    <t>CL066</t>
  </si>
  <si>
    <t>CL067</t>
  </si>
  <si>
    <t>CL068</t>
  </si>
  <si>
    <t>CL069</t>
  </si>
  <si>
    <t>CL070</t>
  </si>
  <si>
    <t>CL071</t>
  </si>
  <si>
    <t>CL072</t>
  </si>
  <si>
    <t>CL073</t>
  </si>
  <si>
    <t>CL074</t>
  </si>
  <si>
    <t>CL075</t>
  </si>
  <si>
    <t>CL076</t>
  </si>
  <si>
    <t>CL077</t>
  </si>
  <si>
    <t>CL078</t>
  </si>
  <si>
    <t>CL079</t>
  </si>
  <si>
    <t>CL080</t>
  </si>
  <si>
    <t>CL081</t>
  </si>
  <si>
    <t>CL082</t>
  </si>
  <si>
    <t>CL083</t>
  </si>
  <si>
    <t>CL084</t>
  </si>
  <si>
    <t>CL085</t>
  </si>
  <si>
    <t>CL086</t>
  </si>
  <si>
    <t>CL087</t>
  </si>
  <si>
    <t>CL088</t>
  </si>
  <si>
    <t>CL089</t>
  </si>
  <si>
    <t>CL090</t>
  </si>
  <si>
    <t>CL091</t>
  </si>
  <si>
    <t>CL092</t>
  </si>
  <si>
    <t>CL093</t>
  </si>
  <si>
    <t>CL094</t>
  </si>
  <si>
    <t>CL095</t>
  </si>
  <si>
    <t>CL096</t>
  </si>
  <si>
    <t>CL097</t>
  </si>
  <si>
    <t>CL098</t>
  </si>
  <si>
    <t>CL099</t>
  </si>
  <si>
    <t>CL100</t>
  </si>
  <si>
    <t>CL101</t>
  </si>
  <si>
    <t>CL102</t>
  </si>
  <si>
    <t>CL103</t>
  </si>
  <si>
    <t>CL104</t>
  </si>
  <si>
    <t>CL105</t>
  </si>
  <si>
    <t>CL106</t>
  </si>
  <si>
    <t>CL107</t>
  </si>
  <si>
    <t>CL108</t>
  </si>
  <si>
    <t>CL109</t>
  </si>
  <si>
    <t>CL110</t>
  </si>
  <si>
    <t>CL111</t>
  </si>
  <si>
    <t>CL112</t>
  </si>
  <si>
    <t>CL113</t>
  </si>
  <si>
    <t>CL114</t>
  </si>
  <si>
    <t>CL115</t>
  </si>
  <si>
    <t>CL116</t>
  </si>
  <si>
    <t>CL117</t>
  </si>
  <si>
    <t>CL118</t>
  </si>
  <si>
    <t>CL119</t>
  </si>
  <si>
    <t>CL120</t>
  </si>
  <si>
    <t>CL121</t>
  </si>
  <si>
    <t>CL122</t>
  </si>
  <si>
    <t>CL123</t>
  </si>
  <si>
    <t>CL124</t>
  </si>
  <si>
    <t>CL125</t>
  </si>
  <si>
    <t>CL126</t>
  </si>
  <si>
    <t>CL127</t>
  </si>
  <si>
    <t>CL128</t>
  </si>
  <si>
    <t>CL129</t>
  </si>
  <si>
    <t>CL130</t>
  </si>
  <si>
    <t>CL131</t>
  </si>
  <si>
    <t>CL132</t>
  </si>
  <si>
    <t>CL133</t>
  </si>
  <si>
    <t>CL134</t>
  </si>
  <si>
    <t>CL135</t>
  </si>
  <si>
    <t>CL136</t>
  </si>
  <si>
    <t>CL137</t>
  </si>
  <si>
    <t>CL138</t>
  </si>
  <si>
    <t>CL139</t>
  </si>
  <si>
    <t>CL140</t>
  </si>
  <si>
    <t>CL141</t>
  </si>
  <si>
    <t>CL142</t>
  </si>
  <si>
    <t>CL143</t>
  </si>
  <si>
    <t>CL144</t>
  </si>
  <si>
    <t>CL145</t>
  </si>
  <si>
    <t>CL146</t>
  </si>
  <si>
    <t>CL147</t>
  </si>
  <si>
    <t>CL148</t>
  </si>
  <si>
    <t>Valor en caja actual</t>
  </si>
  <si>
    <t>a fecha de hoy</t>
  </si>
  <si>
    <t>Gastos del mes</t>
  </si>
  <si>
    <t>por mes</t>
  </si>
  <si>
    <t>Gráfico</t>
  </si>
  <si>
    <t xml:space="preserve">Lineal </t>
  </si>
  <si>
    <t>Tipos de gastos</t>
  </si>
  <si>
    <t>Ingresos</t>
  </si>
  <si>
    <t xml:space="preserve">Barras </t>
  </si>
  <si>
    <t>Pastel</t>
  </si>
  <si>
    <t>Media de ventas</t>
  </si>
  <si>
    <t xml:space="preserve">Media de gastos </t>
  </si>
  <si>
    <t xml:space="preserve">a fecha de hoy </t>
  </si>
  <si>
    <t xml:space="preserve">En número </t>
  </si>
  <si>
    <t>Moneda</t>
  </si>
  <si>
    <t xml:space="preserve">Proyección </t>
  </si>
  <si>
    <t xml:space="preserve">Interactivo </t>
  </si>
  <si>
    <t xml:space="preserve">Cuántos meses más podemos sobrevivir con los datos que tenemos hoy </t>
  </si>
  <si>
    <t>RUNWAY</t>
  </si>
  <si>
    <t>Burn rate (Velocidad con que se gasta el dinero)</t>
  </si>
  <si>
    <t>Mensual</t>
  </si>
  <si>
    <t>Ingresos por canal</t>
  </si>
  <si>
    <t>Tipos de ingresos: Energia, Alarmas y Teleco</t>
  </si>
  <si>
    <t>¿Necesitamos financiación? ¿Otra ronda de inversión? ¿En qué podemos gastar menos?</t>
  </si>
  <si>
    <t xml:space="preserve">Costos Variables </t>
  </si>
  <si>
    <t xml:space="preserve">   Comisiones + CAC</t>
  </si>
  <si>
    <t>Ingreso por venta</t>
  </si>
  <si>
    <t>Ingreso por venta - Costos Variables</t>
  </si>
  <si>
    <t>Crecimiento (Growth)</t>
  </si>
  <si>
    <t>Ventas</t>
  </si>
  <si>
    <t xml:space="preserve">Ventas por sector </t>
  </si>
  <si>
    <t>Número nuevo de clientes</t>
  </si>
  <si>
    <t>índice eficiencia (mensual)</t>
  </si>
  <si>
    <t>Burn rate y Runway (mensual)</t>
  </si>
  <si>
    <t>A partir de enero</t>
  </si>
  <si>
    <t>Monto</t>
  </si>
  <si>
    <t>Proyección (cuadro para poner valor monetario de crecimiento a discreción del usuario)</t>
  </si>
  <si>
    <t xml:space="preserve">Gráfico de ventas con seleccionables </t>
  </si>
  <si>
    <t>Gráfico con caja, ingresos, gastos y runway</t>
  </si>
  <si>
    <t>OpEx</t>
  </si>
  <si>
    <t>Gastos</t>
  </si>
  <si>
    <t>Gastos por categoría (FILTRO)</t>
  </si>
  <si>
    <t>Departamento (teleco, energia, alarmas)</t>
  </si>
  <si>
    <t>CANAL</t>
  </si>
  <si>
    <t>SUBCANAL</t>
  </si>
  <si>
    <t>ONL</t>
  </si>
  <si>
    <t>FB</t>
  </si>
  <si>
    <t>GO</t>
  </si>
  <si>
    <t>TIKTOK</t>
  </si>
  <si>
    <t>ENERGIA</t>
  </si>
  <si>
    <t>ALARMAS</t>
  </si>
  <si>
    <t>TELECO</t>
  </si>
  <si>
    <t>Sueldo comercial</t>
  </si>
  <si>
    <t>COMISIÓN</t>
  </si>
  <si>
    <t>COMISION EUR</t>
  </si>
  <si>
    <t>N</t>
  </si>
  <si>
    <t>evolución de caja</t>
  </si>
  <si>
    <t>si</t>
  </si>
  <si>
    <t>no</t>
  </si>
  <si>
    <t>Gastos totales</t>
  </si>
  <si>
    <t>Gross Burn rate</t>
  </si>
  <si>
    <t>CAJA ACTUAL</t>
  </si>
  <si>
    <t>GROSS BURN RATE (Gastos operativos mensuales)</t>
  </si>
  <si>
    <t xml:space="preserve">NET BURN RATE </t>
  </si>
  <si>
    <t>Gastos operativos - Ingresos operativos</t>
  </si>
  <si>
    <t>NET BURN RATE</t>
  </si>
  <si>
    <t>POSITIVO</t>
  </si>
  <si>
    <t>Ingresos promedio</t>
  </si>
  <si>
    <t>RUNAWAY</t>
  </si>
  <si>
    <t>meses</t>
  </si>
  <si>
    <t>BAJA</t>
  </si>
  <si>
    <t>BURN RATE</t>
  </si>
  <si>
    <t>MARGEN DE CONTRIBUCIÓN</t>
  </si>
  <si>
    <t>Ingresos por ventas</t>
  </si>
  <si>
    <t>Comisiones</t>
  </si>
  <si>
    <t>Coste por leads</t>
  </si>
  <si>
    <t>NO</t>
  </si>
  <si>
    <t>SI</t>
  </si>
  <si>
    <t>Nuevo</t>
  </si>
  <si>
    <t>COSTE DE ADQUISICION DE CLIENTES (CAC)</t>
  </si>
  <si>
    <t>Inversión en marketing</t>
  </si>
  <si>
    <t>Clientes Nuevos</t>
  </si>
  <si>
    <t>CHURN RATE</t>
  </si>
  <si>
    <t>Cliente totales</t>
  </si>
  <si>
    <t>Bajas</t>
  </si>
  <si>
    <t>INGRESO MEDIO POR CLIENTE</t>
  </si>
  <si>
    <t>ROI POR CANAL</t>
  </si>
  <si>
    <t>MK</t>
  </si>
  <si>
    <t>SUELDO</t>
  </si>
  <si>
    <t>DESARROLLO</t>
  </si>
  <si>
    <t xml:space="preserve">Coste por leads (total)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</si>
</sst>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C0A]_-;\-* #,##0.00\ [$€-C0A]_-;_-* &quot;-&quot;??\ [$€-C0A]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theme="1"/>
      <name val="Arial"/>
      <family val="2"/>
    </font>
    <font>
      <b/>
      <sz val="11"/>
      <color rgb="FF0070C0"/>
      <name val="Aptos Narrow"/>
      <scheme val="minor"/>
    </font>
    <font>
      <b/>
      <sz val="11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vertical="center" readingOrder="1"/>
    </xf>
    <xf numFmtId="0" fontId="4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vertical="center" readingOrder="1"/>
    </xf>
    <xf numFmtId="14" fontId="0" fillId="0" borderId="0" xfId="0" applyNumberFormat="1"/>
    <xf numFmtId="0" fontId="3" fillId="0" borderId="0" xfId="0" applyFont="1" applyAlignment="1">
      <alignment horizontal="left" vertical="center" readingOrder="1"/>
    </xf>
    <xf numFmtId="14" fontId="2" fillId="0" borderId="0" xfId="0" applyNumberFormat="1" applyFont="1" applyAlignment="1">
      <alignment horizontal="left" vertical="center" readingOrder="1"/>
    </xf>
    <xf numFmtId="0" fontId="2" fillId="0" borderId="0" xfId="0" applyFont="1" applyAlignment="1">
      <alignment horizontal="left" vertical="center" readingOrder="1"/>
    </xf>
    <xf numFmtId="44" fontId="0" fillId="0" borderId="0" xfId="1" applyFont="1"/>
    <xf numFmtId="44" fontId="3" fillId="0" borderId="1" xfId="1" applyFont="1" applyBorder="1" applyAlignment="1">
      <alignment horizontal="left" vertical="center" readingOrder="1"/>
    </xf>
    <xf numFmtId="44" fontId="3" fillId="0" borderId="0" xfId="1" applyFont="1" applyBorder="1" applyAlignment="1">
      <alignment horizontal="left" vertical="center" readingOrder="1"/>
    </xf>
    <xf numFmtId="0" fontId="6" fillId="0" borderId="0" xfId="0" applyFont="1"/>
    <xf numFmtId="0" fontId="7" fillId="0" borderId="0" xfId="0" applyFont="1"/>
    <xf numFmtId="9" fontId="0" fillId="0" borderId="0" xfId="2" applyFont="1"/>
    <xf numFmtId="9" fontId="0" fillId="0" borderId="0" xfId="0" applyNumberFormat="1"/>
    <xf numFmtId="44" fontId="0" fillId="0" borderId="0" xfId="0" applyNumberFormat="1"/>
    <xf numFmtId="0" fontId="3" fillId="0" borderId="2" xfId="0" applyFont="1" applyBorder="1" applyAlignment="1">
      <alignment horizontal="left" vertical="center" readingOrder="1"/>
    </xf>
    <xf numFmtId="0" fontId="3" fillId="0" borderId="3" xfId="0" applyFont="1" applyBorder="1" applyAlignment="1">
      <alignment horizontal="left" vertical="center" readingOrder="1"/>
    </xf>
    <xf numFmtId="0" fontId="3" fillId="0" borderId="4" xfId="0" applyFont="1" applyBorder="1" applyAlignment="1">
      <alignment horizontal="left" vertical="center" readingOrder="1"/>
    </xf>
    <xf numFmtId="164" fontId="0" fillId="0" borderId="0" xfId="0" applyNumberFormat="1"/>
    <xf numFmtId="0" fontId="8" fillId="0" borderId="0" xfId="0" applyFont="1"/>
    <xf numFmtId="10" fontId="9" fillId="0" borderId="0" xfId="2" applyNumberFormat="1" applyFont="1"/>
    <xf numFmtId="0" fontId="9" fillId="0" borderId="0" xfId="0" applyFont="1"/>
    <xf numFmtId="2" fontId="0" fillId="0" borderId="0" xfId="1" applyNumberFormat="1" applyFont="1"/>
    <xf numFmtId="44" fontId="9" fillId="0" borderId="0" xfId="1" applyFont="1"/>
    <xf numFmtId="44" fontId="9" fillId="0" borderId="0" xfId="0" applyNumberFormat="1" applyFon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167640</xdr:colOff>
      <xdr:row>14</xdr:row>
      <xdr:rowOff>38100</xdr:rowOff>
    </xdr:from>
    <xdr:to>
      <xdr:col>11</xdr:col>
      <xdr:colOff>343433</xdr:colOff>
      <xdr:row>18</xdr:row>
      <xdr:rowOff>22919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F80461-06BA-47D0-A527-624C2D842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5060" y="2491740"/>
          <a:ext cx="6149873" cy="685859"/>
        </a:xfrm>
        <a:prstGeom prst="rect">
          <a:avLst/>
        </a:prstGeom>
      </xdr:spPr>
    </xdr:pic>
    <xdr:clientData/>
  </xdr:twoCellAnchor>
  <xdr:twoCellAnchor editAs="oneCell">
    <xdr:from>
      <xdr:col>6</xdr:col>
      <xdr:colOff>358140</xdr:colOff>
      <xdr:row>22</xdr:row>
      <xdr:rowOff>129540</xdr:rowOff>
    </xdr:from>
    <xdr:to>
      <xdr:col>10</xdr:col>
      <xdr:colOff>236505</xdr:colOff>
      <xdr:row>25</xdr:row>
      <xdr:rowOff>68620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2AA075-9A50-41B2-9815-56F8DEF7A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02440" y="4008120"/>
          <a:ext cx="3292125" cy="464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B22B0-06C8-4506-ACFE-69209118AF48}">
  <dimension ref="A1:D11"/>
  <sheetViews>
    <sheetView workbookViewId="0">
      <selection activeCell="B2" sqref="B2:B11"/>
    </sheetView>
  </sheetViews>
  <sheetFormatPr baseColWidth="10" defaultRowHeight="13.8"/>
  <cols>
    <col min="1" max="1" width="3.19921875" bestFit="1" customWidth="1"/>
    <col min="2" max="2" width="21.3984375" bestFit="1" customWidth="1"/>
    <col min="3" max="3" width="19.69921875" bestFit="1" customWidth="1"/>
    <col min="4" max="4" width="65.796875" bestFit="1" customWidth="1"/>
  </cols>
  <sheetData>
    <row r="1" spans="1:4" ht="14.4" thickBot="1">
      <c r="A1" s="1" t="s">
        <v>0</v>
      </c>
      <c r="B1" s="1" t="s">
        <v>1</v>
      </c>
      <c r="C1" s="1" t="s">
        <v>2</v>
      </c>
      <c r="D1" s="2" t="s">
        <v>3</v>
      </c>
    </row>
    <row r="2" spans="1:4" ht="14.4" thickBot="1">
      <c r="A2" s="1">
        <v>1</v>
      </c>
      <c r="B2" s="1" t="s">
        <v>4</v>
      </c>
      <c r="C2" s="3" t="s">
        <v>5</v>
      </c>
      <c r="D2" s="4" t="s">
        <v>6</v>
      </c>
    </row>
    <row r="3" spans="1:4" ht="14.4" thickBot="1">
      <c r="A3" s="1">
        <v>2</v>
      </c>
      <c r="B3" s="1" t="s">
        <v>7</v>
      </c>
      <c r="C3" s="3" t="s">
        <v>8</v>
      </c>
      <c r="D3" s="4" t="s">
        <v>9</v>
      </c>
    </row>
    <row r="4" spans="1:4" ht="14.4" thickBot="1">
      <c r="A4" s="1">
        <v>3</v>
      </c>
      <c r="B4" s="1" t="s">
        <v>10</v>
      </c>
      <c r="C4" s="3" t="s">
        <v>11</v>
      </c>
      <c r="D4" s="2" t="s">
        <v>12</v>
      </c>
    </row>
    <row r="5" spans="1:4" ht="14.4" thickBot="1">
      <c r="A5" s="1">
        <v>4</v>
      </c>
      <c r="B5" s="1" t="s">
        <v>11</v>
      </c>
      <c r="C5" s="3" t="s">
        <v>8</v>
      </c>
      <c r="D5" s="4" t="s">
        <v>13</v>
      </c>
    </row>
    <row r="6" spans="1:4" ht="14.4" thickBot="1">
      <c r="A6" s="1">
        <v>5</v>
      </c>
      <c r="B6" s="1" t="s">
        <v>14</v>
      </c>
      <c r="C6" s="3" t="s">
        <v>8</v>
      </c>
      <c r="D6" s="4" t="s">
        <v>15</v>
      </c>
    </row>
    <row r="7" spans="1:4" ht="14.4" thickBot="1">
      <c r="A7" s="1">
        <v>6</v>
      </c>
      <c r="B7" s="1" t="s">
        <v>16</v>
      </c>
      <c r="C7" s="3" t="s">
        <v>17</v>
      </c>
      <c r="D7" s="4" t="s">
        <v>18</v>
      </c>
    </row>
    <row r="8" spans="1:4" ht="14.4" thickBot="1">
      <c r="A8" s="1">
        <v>7</v>
      </c>
      <c r="B8" s="1" t="s">
        <v>19</v>
      </c>
      <c r="C8" s="3" t="s">
        <v>20</v>
      </c>
      <c r="D8" s="4" t="s">
        <v>21</v>
      </c>
    </row>
    <row r="9" spans="1:4" ht="14.4" thickBot="1">
      <c r="A9" s="1">
        <v>8</v>
      </c>
      <c r="B9" s="1" t="s">
        <v>22</v>
      </c>
      <c r="C9" s="3" t="s">
        <v>8</v>
      </c>
      <c r="D9" s="4" t="s">
        <v>23</v>
      </c>
    </row>
    <row r="10" spans="1:4" ht="14.4" thickBot="1">
      <c r="A10" s="1">
        <v>9</v>
      </c>
      <c r="B10" s="1" t="s">
        <v>24</v>
      </c>
      <c r="C10" s="3" t="s">
        <v>11</v>
      </c>
      <c r="D10" s="2" t="s">
        <v>25</v>
      </c>
    </row>
    <row r="11" spans="1:4" ht="14.4" thickBot="1">
      <c r="A11" s="1">
        <v>10</v>
      </c>
      <c r="B11" s="1" t="s">
        <v>26</v>
      </c>
      <c r="C11" s="3" t="s">
        <v>27</v>
      </c>
      <c r="D11" s="4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60ACE-4477-4333-AA16-DFF4F530AFCE}">
  <dimension ref="A1:N154"/>
  <sheetViews>
    <sheetView zoomScale="90" zoomScaleNormal="90" workbookViewId="0">
      <selection activeCell="E3" sqref="E3"/>
    </sheetView>
  </sheetViews>
  <sheetFormatPr baseColWidth="10" defaultRowHeight="13.8"/>
  <cols>
    <col min="2" max="2" width="17.69921875" bestFit="1" customWidth="1"/>
    <col min="5" max="5" width="13.796875" bestFit="1" customWidth="1"/>
    <col min="6" max="6" width="12.8984375" style="9" bestFit="1" customWidth="1"/>
    <col min="14" max="14" width="14.296875" bestFit="1" customWidth="1"/>
  </cols>
  <sheetData>
    <row r="1" spans="1:14" ht="14.4" thickBot="1">
      <c r="A1" s="1" t="s">
        <v>4</v>
      </c>
      <c r="B1" s="1" t="s">
        <v>7</v>
      </c>
      <c r="C1" s="1" t="s">
        <v>10</v>
      </c>
      <c r="D1" s="1" t="s">
        <v>11</v>
      </c>
      <c r="E1" s="1" t="s">
        <v>14</v>
      </c>
      <c r="F1" s="10" t="s">
        <v>16</v>
      </c>
      <c r="G1" s="1" t="s">
        <v>19</v>
      </c>
      <c r="H1" s="17" t="s">
        <v>22</v>
      </c>
      <c r="I1" s="18" t="s">
        <v>24</v>
      </c>
      <c r="J1" s="18" t="s">
        <v>26</v>
      </c>
      <c r="K1" s="18" t="s">
        <v>236</v>
      </c>
      <c r="L1" s="18" t="s">
        <v>237</v>
      </c>
      <c r="M1" s="18" t="s">
        <v>246</v>
      </c>
      <c r="N1" s="18" t="s">
        <v>247</v>
      </c>
    </row>
    <row r="2" spans="1:14">
      <c r="A2" s="7">
        <v>46023</v>
      </c>
      <c r="B2" s="8" t="s">
        <v>31</v>
      </c>
      <c r="C2" s="8" t="s">
        <v>32</v>
      </c>
      <c r="D2" s="6" t="s">
        <v>33</v>
      </c>
      <c r="E2" s="6" t="s">
        <v>33</v>
      </c>
      <c r="F2" s="11">
        <v>50000</v>
      </c>
      <c r="G2" s="6" t="s">
        <v>35</v>
      </c>
      <c r="H2" s="6">
        <v>0</v>
      </c>
      <c r="I2" s="6">
        <v>0</v>
      </c>
      <c r="J2" s="6" t="s">
        <v>248</v>
      </c>
      <c r="K2" t="s">
        <v>238</v>
      </c>
      <c r="L2" t="s">
        <v>239</v>
      </c>
      <c r="M2" s="6">
        <v>0</v>
      </c>
      <c r="N2" s="6">
        <v>0</v>
      </c>
    </row>
    <row r="3" spans="1:14">
      <c r="A3" s="5">
        <v>46037</v>
      </c>
      <c r="B3" t="s">
        <v>29</v>
      </c>
      <c r="C3" t="s">
        <v>30</v>
      </c>
      <c r="D3" t="s">
        <v>242</v>
      </c>
      <c r="E3" t="s">
        <v>34</v>
      </c>
      <c r="F3" s="9">
        <v>-2100</v>
      </c>
      <c r="G3" t="s">
        <v>36</v>
      </c>
      <c r="H3" t="s">
        <v>37</v>
      </c>
      <c r="I3" t="s">
        <v>38</v>
      </c>
      <c r="J3" t="s">
        <v>39</v>
      </c>
      <c r="K3" t="s">
        <v>238</v>
      </c>
      <c r="L3" t="s">
        <v>240</v>
      </c>
      <c r="M3">
        <v>0</v>
      </c>
      <c r="N3">
        <v>0</v>
      </c>
    </row>
    <row r="4" spans="1:14">
      <c r="A4" s="5">
        <v>46038</v>
      </c>
      <c r="B4" t="s">
        <v>40</v>
      </c>
      <c r="C4" t="s">
        <v>35</v>
      </c>
      <c r="D4" t="s">
        <v>242</v>
      </c>
      <c r="E4" t="s">
        <v>40</v>
      </c>
      <c r="F4" s="9">
        <v>60</v>
      </c>
      <c r="G4" t="s">
        <v>36</v>
      </c>
      <c r="H4" t="s">
        <v>41</v>
      </c>
      <c r="I4" t="s">
        <v>38</v>
      </c>
      <c r="J4" t="s">
        <v>42</v>
      </c>
      <c r="K4" t="s">
        <v>238</v>
      </c>
      <c r="L4" t="s">
        <v>241</v>
      </c>
      <c r="M4" s="14">
        <v>0.05</v>
      </c>
      <c r="N4" s="16">
        <f>(F4*M4)</f>
        <v>3</v>
      </c>
    </row>
    <row r="5" spans="1:14">
      <c r="A5" s="5">
        <v>46039</v>
      </c>
      <c r="B5" t="s">
        <v>40</v>
      </c>
      <c r="C5" t="s">
        <v>35</v>
      </c>
      <c r="D5" t="s">
        <v>242</v>
      </c>
      <c r="E5" t="s">
        <v>40</v>
      </c>
      <c r="F5" s="9">
        <v>30</v>
      </c>
      <c r="G5" t="s">
        <v>36</v>
      </c>
      <c r="H5" t="s">
        <v>37</v>
      </c>
      <c r="I5" t="s">
        <v>38</v>
      </c>
      <c r="J5" t="s">
        <v>43</v>
      </c>
      <c r="K5" t="s">
        <v>238</v>
      </c>
      <c r="L5" t="s">
        <v>241</v>
      </c>
      <c r="M5" s="14">
        <v>0.05</v>
      </c>
      <c r="N5" s="16">
        <f t="shared" ref="N5:N68" si="0">(F5*M5)</f>
        <v>1.5</v>
      </c>
    </row>
    <row r="6" spans="1:14">
      <c r="A6" s="5">
        <v>46039</v>
      </c>
      <c r="B6" t="s">
        <v>40</v>
      </c>
      <c r="C6" t="s">
        <v>35</v>
      </c>
      <c r="D6" t="s">
        <v>242</v>
      </c>
      <c r="E6" t="s">
        <v>40</v>
      </c>
      <c r="F6" s="9">
        <v>30</v>
      </c>
      <c r="G6" t="s">
        <v>36</v>
      </c>
      <c r="H6" t="s">
        <v>37</v>
      </c>
      <c r="I6" t="s">
        <v>38</v>
      </c>
      <c r="J6" t="s">
        <v>74</v>
      </c>
      <c r="K6" t="s">
        <v>238</v>
      </c>
      <c r="L6" t="s">
        <v>241</v>
      </c>
      <c r="M6" s="14">
        <v>0.05</v>
      </c>
      <c r="N6" s="16">
        <f t="shared" si="0"/>
        <v>1.5</v>
      </c>
    </row>
    <row r="7" spans="1:14">
      <c r="A7" s="5">
        <v>46040</v>
      </c>
      <c r="B7" t="s">
        <v>40</v>
      </c>
      <c r="C7" t="s">
        <v>35</v>
      </c>
      <c r="D7" t="s">
        <v>242</v>
      </c>
      <c r="E7" t="s">
        <v>40</v>
      </c>
      <c r="F7" s="9">
        <v>60</v>
      </c>
      <c r="G7" t="s">
        <v>36</v>
      </c>
      <c r="H7" t="s">
        <v>37</v>
      </c>
      <c r="I7" t="s">
        <v>38</v>
      </c>
      <c r="J7" t="s">
        <v>44</v>
      </c>
      <c r="K7" t="s">
        <v>238</v>
      </c>
      <c r="L7" t="s">
        <v>241</v>
      </c>
      <c r="M7" s="14">
        <v>0.05</v>
      </c>
      <c r="N7" s="16">
        <f t="shared" si="0"/>
        <v>3</v>
      </c>
    </row>
    <row r="8" spans="1:14">
      <c r="A8" s="5">
        <v>46041</v>
      </c>
      <c r="B8" t="s">
        <v>40</v>
      </c>
      <c r="C8" t="s">
        <v>35</v>
      </c>
      <c r="D8" t="s">
        <v>242</v>
      </c>
      <c r="E8" t="s">
        <v>40</v>
      </c>
      <c r="F8" s="9">
        <v>60</v>
      </c>
      <c r="G8" t="s">
        <v>36</v>
      </c>
      <c r="H8" t="s">
        <v>37</v>
      </c>
      <c r="I8" t="s">
        <v>38</v>
      </c>
      <c r="J8" t="s">
        <v>45</v>
      </c>
      <c r="K8" t="s">
        <v>238</v>
      </c>
      <c r="L8" t="s">
        <v>241</v>
      </c>
      <c r="M8" s="14">
        <v>0.05</v>
      </c>
      <c r="N8" s="16">
        <f t="shared" si="0"/>
        <v>3</v>
      </c>
    </row>
    <row r="9" spans="1:14">
      <c r="A9" s="5">
        <v>46041</v>
      </c>
      <c r="B9" t="s">
        <v>40</v>
      </c>
      <c r="C9" t="s">
        <v>35</v>
      </c>
      <c r="D9" t="s">
        <v>242</v>
      </c>
      <c r="E9" t="s">
        <v>40</v>
      </c>
      <c r="F9" s="9">
        <v>60</v>
      </c>
      <c r="G9" t="s">
        <v>36</v>
      </c>
      <c r="H9" t="s">
        <v>37</v>
      </c>
      <c r="I9" t="s">
        <v>38</v>
      </c>
      <c r="J9" t="s">
        <v>46</v>
      </c>
      <c r="K9" t="s">
        <v>238</v>
      </c>
      <c r="L9" t="s">
        <v>241</v>
      </c>
      <c r="M9" s="14">
        <v>0.05</v>
      </c>
      <c r="N9" s="16">
        <f t="shared" si="0"/>
        <v>3</v>
      </c>
    </row>
    <row r="10" spans="1:14">
      <c r="A10" s="5">
        <v>46041</v>
      </c>
      <c r="B10" t="s">
        <v>40</v>
      </c>
      <c r="C10" t="s">
        <v>35</v>
      </c>
      <c r="D10" t="s">
        <v>242</v>
      </c>
      <c r="E10" t="s">
        <v>40</v>
      </c>
      <c r="F10" s="9">
        <v>60</v>
      </c>
      <c r="G10" t="s">
        <v>36</v>
      </c>
      <c r="H10" t="s">
        <v>37</v>
      </c>
      <c r="I10" t="s">
        <v>38</v>
      </c>
      <c r="J10" t="s">
        <v>47</v>
      </c>
      <c r="K10" t="s">
        <v>238</v>
      </c>
      <c r="L10" t="s">
        <v>241</v>
      </c>
      <c r="M10" s="14">
        <v>0.05</v>
      </c>
      <c r="N10" s="16">
        <f t="shared" si="0"/>
        <v>3</v>
      </c>
    </row>
    <row r="11" spans="1:14">
      <c r="A11" s="5">
        <v>46041</v>
      </c>
      <c r="B11" t="s">
        <v>40</v>
      </c>
      <c r="C11" t="s">
        <v>35</v>
      </c>
      <c r="D11" t="s">
        <v>242</v>
      </c>
      <c r="E11" t="s">
        <v>40</v>
      </c>
      <c r="F11" s="9">
        <v>30</v>
      </c>
      <c r="G11" t="s">
        <v>36</v>
      </c>
      <c r="H11" t="s">
        <v>37</v>
      </c>
      <c r="I11" t="s">
        <v>38</v>
      </c>
      <c r="J11" t="s">
        <v>48</v>
      </c>
      <c r="K11" t="s">
        <v>238</v>
      </c>
      <c r="L11" t="s">
        <v>241</v>
      </c>
      <c r="M11" s="14">
        <v>0.05</v>
      </c>
      <c r="N11" s="16">
        <f t="shared" si="0"/>
        <v>1.5</v>
      </c>
    </row>
    <row r="12" spans="1:14">
      <c r="A12" s="5">
        <v>46041</v>
      </c>
      <c r="B12" t="s">
        <v>40</v>
      </c>
      <c r="C12" t="s">
        <v>35</v>
      </c>
      <c r="D12" t="s">
        <v>242</v>
      </c>
      <c r="E12" t="s">
        <v>40</v>
      </c>
      <c r="F12" s="9">
        <v>30</v>
      </c>
      <c r="G12" t="s">
        <v>36</v>
      </c>
      <c r="H12" t="s">
        <v>37</v>
      </c>
      <c r="I12" t="s">
        <v>38</v>
      </c>
      <c r="J12" t="s">
        <v>49</v>
      </c>
      <c r="K12" t="s">
        <v>238</v>
      </c>
      <c r="L12" t="s">
        <v>241</v>
      </c>
      <c r="M12" s="14">
        <v>0.05</v>
      </c>
      <c r="N12" s="16">
        <f t="shared" si="0"/>
        <v>1.5</v>
      </c>
    </row>
    <row r="13" spans="1:14">
      <c r="A13" s="5">
        <v>46042</v>
      </c>
      <c r="B13" t="s">
        <v>40</v>
      </c>
      <c r="C13" t="s">
        <v>35</v>
      </c>
      <c r="D13" t="s">
        <v>242</v>
      </c>
      <c r="E13" t="s">
        <v>40</v>
      </c>
      <c r="F13" s="9">
        <v>30</v>
      </c>
      <c r="G13" t="s">
        <v>36</v>
      </c>
      <c r="H13" t="s">
        <v>37</v>
      </c>
      <c r="I13" t="s">
        <v>38</v>
      </c>
      <c r="J13" t="s">
        <v>50</v>
      </c>
      <c r="K13" t="s">
        <v>238</v>
      </c>
      <c r="L13" t="s">
        <v>241</v>
      </c>
      <c r="M13" s="14">
        <v>0.05</v>
      </c>
      <c r="N13" s="16">
        <f t="shared" si="0"/>
        <v>1.5</v>
      </c>
    </row>
    <row r="14" spans="1:14">
      <c r="A14" s="5">
        <v>46042</v>
      </c>
      <c r="B14" t="s">
        <v>40</v>
      </c>
      <c r="C14" t="s">
        <v>35</v>
      </c>
      <c r="D14" t="s">
        <v>242</v>
      </c>
      <c r="E14" t="s">
        <v>40</v>
      </c>
      <c r="F14" s="9">
        <v>30</v>
      </c>
      <c r="G14" t="s">
        <v>36</v>
      </c>
      <c r="H14" t="s">
        <v>37</v>
      </c>
      <c r="I14" t="s">
        <v>38</v>
      </c>
      <c r="J14" t="s">
        <v>56</v>
      </c>
      <c r="K14" t="s">
        <v>238</v>
      </c>
      <c r="L14" t="s">
        <v>241</v>
      </c>
      <c r="M14" s="14">
        <v>0.05</v>
      </c>
      <c r="N14" s="16">
        <f t="shared" si="0"/>
        <v>1.5</v>
      </c>
    </row>
    <row r="15" spans="1:14">
      <c r="A15" s="5">
        <v>46042</v>
      </c>
      <c r="B15" t="s">
        <v>40</v>
      </c>
      <c r="C15" t="s">
        <v>35</v>
      </c>
      <c r="D15" t="s">
        <v>242</v>
      </c>
      <c r="E15" t="s">
        <v>40</v>
      </c>
      <c r="F15" s="9">
        <v>30</v>
      </c>
      <c r="G15" t="s">
        <v>36</v>
      </c>
      <c r="H15" t="s">
        <v>37</v>
      </c>
      <c r="I15" t="s">
        <v>38</v>
      </c>
      <c r="J15" t="s">
        <v>57</v>
      </c>
      <c r="K15" t="s">
        <v>238</v>
      </c>
      <c r="L15" t="s">
        <v>241</v>
      </c>
      <c r="M15" s="14">
        <v>0.05</v>
      </c>
      <c r="N15" s="16">
        <f t="shared" si="0"/>
        <v>1.5</v>
      </c>
    </row>
    <row r="16" spans="1:14">
      <c r="A16" s="5">
        <v>46042</v>
      </c>
      <c r="B16" t="s">
        <v>40</v>
      </c>
      <c r="C16" t="s">
        <v>35</v>
      </c>
      <c r="D16" t="s">
        <v>242</v>
      </c>
      <c r="E16" t="s">
        <v>40</v>
      </c>
      <c r="F16" s="9">
        <v>30</v>
      </c>
      <c r="G16" t="s">
        <v>36</v>
      </c>
      <c r="H16" t="s">
        <v>37</v>
      </c>
      <c r="I16" t="s">
        <v>38</v>
      </c>
      <c r="J16" t="s">
        <v>58</v>
      </c>
      <c r="K16" t="s">
        <v>238</v>
      </c>
      <c r="L16" t="s">
        <v>241</v>
      </c>
      <c r="M16" s="14">
        <v>0.05</v>
      </c>
      <c r="N16" s="16">
        <f t="shared" si="0"/>
        <v>1.5</v>
      </c>
    </row>
    <row r="17" spans="1:14">
      <c r="A17" s="5">
        <v>46042</v>
      </c>
      <c r="B17" t="s">
        <v>40</v>
      </c>
      <c r="C17" t="s">
        <v>35</v>
      </c>
      <c r="D17" t="s">
        <v>242</v>
      </c>
      <c r="E17" t="s">
        <v>40</v>
      </c>
      <c r="F17" s="9">
        <v>30</v>
      </c>
      <c r="G17" t="s">
        <v>36</v>
      </c>
      <c r="H17" t="s">
        <v>37</v>
      </c>
      <c r="I17" t="s">
        <v>38</v>
      </c>
      <c r="J17" t="s">
        <v>59</v>
      </c>
      <c r="K17" t="s">
        <v>238</v>
      </c>
      <c r="L17" t="s">
        <v>241</v>
      </c>
      <c r="M17" s="14">
        <v>0.05</v>
      </c>
      <c r="N17" s="16">
        <f t="shared" si="0"/>
        <v>1.5</v>
      </c>
    </row>
    <row r="18" spans="1:14">
      <c r="A18" s="5">
        <v>46043</v>
      </c>
      <c r="B18" t="s">
        <v>51</v>
      </c>
      <c r="C18" t="s">
        <v>30</v>
      </c>
      <c r="D18" t="s">
        <v>52</v>
      </c>
      <c r="E18" t="s">
        <v>53</v>
      </c>
      <c r="F18" s="9">
        <v>-100</v>
      </c>
      <c r="G18" t="s">
        <v>54</v>
      </c>
      <c r="H18" t="s">
        <v>37</v>
      </c>
      <c r="I18" t="s">
        <v>38</v>
      </c>
      <c r="J18" t="s">
        <v>55</v>
      </c>
      <c r="K18" t="s">
        <v>238</v>
      </c>
      <c r="L18" t="s">
        <v>241</v>
      </c>
      <c r="M18" s="14">
        <v>0</v>
      </c>
      <c r="N18" s="16">
        <f t="shared" si="0"/>
        <v>0</v>
      </c>
    </row>
    <row r="19" spans="1:14">
      <c r="A19" s="5">
        <v>46043</v>
      </c>
      <c r="B19" t="s">
        <v>40</v>
      </c>
      <c r="C19" t="s">
        <v>35</v>
      </c>
      <c r="D19" t="s">
        <v>243</v>
      </c>
      <c r="E19" t="s">
        <v>40</v>
      </c>
      <c r="F19" s="9">
        <v>30</v>
      </c>
      <c r="G19" t="s">
        <v>36</v>
      </c>
      <c r="H19" t="s">
        <v>37</v>
      </c>
      <c r="I19" t="s">
        <v>38</v>
      </c>
      <c r="J19" t="s">
        <v>60</v>
      </c>
      <c r="K19" t="s">
        <v>238</v>
      </c>
      <c r="L19" t="s">
        <v>241</v>
      </c>
      <c r="M19" s="15">
        <v>0.05</v>
      </c>
      <c r="N19" s="16">
        <f t="shared" si="0"/>
        <v>1.5</v>
      </c>
    </row>
    <row r="20" spans="1:14">
      <c r="A20" s="5">
        <v>46043</v>
      </c>
      <c r="B20" t="s">
        <v>40</v>
      </c>
      <c r="C20" t="s">
        <v>35</v>
      </c>
      <c r="D20" t="s">
        <v>242</v>
      </c>
      <c r="E20" t="s">
        <v>40</v>
      </c>
      <c r="F20" s="9">
        <v>30</v>
      </c>
      <c r="G20" t="s">
        <v>36</v>
      </c>
      <c r="H20" t="s">
        <v>37</v>
      </c>
      <c r="I20" t="s">
        <v>38</v>
      </c>
      <c r="J20" t="s">
        <v>61</v>
      </c>
      <c r="K20" t="s">
        <v>238</v>
      </c>
      <c r="L20" t="s">
        <v>241</v>
      </c>
      <c r="M20" s="15">
        <v>0.05</v>
      </c>
      <c r="N20" s="16">
        <f t="shared" si="0"/>
        <v>1.5</v>
      </c>
    </row>
    <row r="21" spans="1:14">
      <c r="A21" s="5">
        <v>46043</v>
      </c>
      <c r="B21" t="s">
        <v>40</v>
      </c>
      <c r="C21" t="s">
        <v>35</v>
      </c>
      <c r="D21" t="s">
        <v>242</v>
      </c>
      <c r="E21" t="s">
        <v>40</v>
      </c>
      <c r="F21" s="9">
        <v>30</v>
      </c>
      <c r="G21" t="s">
        <v>36</v>
      </c>
      <c r="H21" t="s">
        <v>37</v>
      </c>
      <c r="I21" t="s">
        <v>38</v>
      </c>
      <c r="J21" t="s">
        <v>62</v>
      </c>
      <c r="K21" t="s">
        <v>238</v>
      </c>
      <c r="L21" t="s">
        <v>241</v>
      </c>
      <c r="M21" s="15">
        <v>0.05</v>
      </c>
      <c r="N21" s="16">
        <f t="shared" si="0"/>
        <v>1.5</v>
      </c>
    </row>
    <row r="22" spans="1:14">
      <c r="A22" s="5">
        <v>46043</v>
      </c>
      <c r="B22" t="s">
        <v>40</v>
      </c>
      <c r="C22" t="s">
        <v>35</v>
      </c>
      <c r="D22" t="s">
        <v>242</v>
      </c>
      <c r="E22" t="s">
        <v>40</v>
      </c>
      <c r="F22" s="9">
        <v>30</v>
      </c>
      <c r="G22" t="s">
        <v>36</v>
      </c>
      <c r="H22" t="s">
        <v>37</v>
      </c>
      <c r="I22" t="s">
        <v>38</v>
      </c>
      <c r="J22" t="s">
        <v>63</v>
      </c>
      <c r="K22" t="s">
        <v>238</v>
      </c>
      <c r="L22" t="s">
        <v>241</v>
      </c>
      <c r="M22" s="15">
        <v>0.05</v>
      </c>
      <c r="N22" s="16">
        <f t="shared" si="0"/>
        <v>1.5</v>
      </c>
    </row>
    <row r="23" spans="1:14">
      <c r="A23" s="5">
        <v>46043</v>
      </c>
      <c r="B23" t="s">
        <v>40</v>
      </c>
      <c r="C23" t="s">
        <v>35</v>
      </c>
      <c r="D23" t="s">
        <v>242</v>
      </c>
      <c r="E23" t="s">
        <v>40</v>
      </c>
      <c r="F23" s="9">
        <v>30</v>
      </c>
      <c r="G23" t="s">
        <v>36</v>
      </c>
      <c r="H23" t="s">
        <v>37</v>
      </c>
      <c r="I23" t="s">
        <v>38</v>
      </c>
      <c r="J23" t="s">
        <v>64</v>
      </c>
      <c r="K23" t="s">
        <v>238</v>
      </c>
      <c r="L23" t="s">
        <v>241</v>
      </c>
      <c r="M23" s="15">
        <v>0.05</v>
      </c>
      <c r="N23" s="16">
        <f t="shared" si="0"/>
        <v>1.5</v>
      </c>
    </row>
    <row r="24" spans="1:14">
      <c r="A24" s="5">
        <v>46043</v>
      </c>
      <c r="B24" t="s">
        <v>40</v>
      </c>
      <c r="C24" t="s">
        <v>35</v>
      </c>
      <c r="D24" t="s">
        <v>242</v>
      </c>
      <c r="E24" t="s">
        <v>40</v>
      </c>
      <c r="F24" s="9">
        <v>30</v>
      </c>
      <c r="G24" t="s">
        <v>36</v>
      </c>
      <c r="H24" t="s">
        <v>37</v>
      </c>
      <c r="I24" t="s">
        <v>38</v>
      </c>
      <c r="J24" t="s">
        <v>65</v>
      </c>
      <c r="K24" t="s">
        <v>238</v>
      </c>
      <c r="L24" t="s">
        <v>241</v>
      </c>
      <c r="M24" s="15">
        <v>0.05</v>
      </c>
      <c r="N24" s="16">
        <f t="shared" si="0"/>
        <v>1.5</v>
      </c>
    </row>
    <row r="25" spans="1:14">
      <c r="A25" s="5">
        <v>46043</v>
      </c>
      <c r="B25" t="s">
        <v>40</v>
      </c>
      <c r="C25" t="s">
        <v>35</v>
      </c>
      <c r="D25" t="s">
        <v>242</v>
      </c>
      <c r="E25" t="s">
        <v>40</v>
      </c>
      <c r="F25" s="9">
        <v>30</v>
      </c>
      <c r="G25" t="s">
        <v>36</v>
      </c>
      <c r="H25" t="s">
        <v>37</v>
      </c>
      <c r="I25" t="s">
        <v>38</v>
      </c>
      <c r="J25" t="s">
        <v>66</v>
      </c>
      <c r="K25" t="s">
        <v>238</v>
      </c>
      <c r="L25" t="s">
        <v>241</v>
      </c>
      <c r="M25" s="15">
        <v>0.05</v>
      </c>
      <c r="N25" s="16">
        <f t="shared" si="0"/>
        <v>1.5</v>
      </c>
    </row>
    <row r="26" spans="1:14">
      <c r="A26" s="5">
        <v>46043</v>
      </c>
      <c r="B26" t="s">
        <v>40</v>
      </c>
      <c r="C26" t="s">
        <v>35</v>
      </c>
      <c r="D26" t="s">
        <v>243</v>
      </c>
      <c r="E26" t="s">
        <v>40</v>
      </c>
      <c r="F26" s="9">
        <v>30</v>
      </c>
      <c r="G26" t="s">
        <v>36</v>
      </c>
      <c r="H26" t="s">
        <v>37</v>
      </c>
      <c r="I26" t="s">
        <v>38</v>
      </c>
      <c r="J26" t="s">
        <v>67</v>
      </c>
      <c r="K26" t="s">
        <v>238</v>
      </c>
      <c r="L26" t="s">
        <v>241</v>
      </c>
      <c r="M26" s="15">
        <v>0.05</v>
      </c>
      <c r="N26" s="16">
        <f t="shared" si="0"/>
        <v>1.5</v>
      </c>
    </row>
    <row r="27" spans="1:14">
      <c r="A27" s="5">
        <v>46043</v>
      </c>
      <c r="B27" t="s">
        <v>40</v>
      </c>
      <c r="C27" t="s">
        <v>35</v>
      </c>
      <c r="D27" t="s">
        <v>242</v>
      </c>
      <c r="E27" t="s">
        <v>40</v>
      </c>
      <c r="F27" s="9">
        <v>30</v>
      </c>
      <c r="G27" t="s">
        <v>36</v>
      </c>
      <c r="H27" t="s">
        <v>37</v>
      </c>
      <c r="I27" t="s">
        <v>38</v>
      </c>
      <c r="J27" t="s">
        <v>68</v>
      </c>
      <c r="K27" t="s">
        <v>238</v>
      </c>
      <c r="L27" t="s">
        <v>241</v>
      </c>
      <c r="M27" s="15">
        <v>0.05</v>
      </c>
      <c r="N27" s="16">
        <f t="shared" si="0"/>
        <v>1.5</v>
      </c>
    </row>
    <row r="28" spans="1:14">
      <c r="A28" s="5">
        <v>46043</v>
      </c>
      <c r="B28" t="s">
        <v>40</v>
      </c>
      <c r="C28" t="s">
        <v>35</v>
      </c>
      <c r="D28" t="s">
        <v>242</v>
      </c>
      <c r="E28" t="s">
        <v>40</v>
      </c>
      <c r="F28" s="9">
        <v>30</v>
      </c>
      <c r="G28" t="s">
        <v>36</v>
      </c>
      <c r="H28" t="s">
        <v>37</v>
      </c>
      <c r="I28" t="s">
        <v>38</v>
      </c>
      <c r="J28" t="s">
        <v>69</v>
      </c>
      <c r="K28" t="s">
        <v>238</v>
      </c>
      <c r="L28" t="s">
        <v>241</v>
      </c>
      <c r="M28" s="15">
        <v>0.05</v>
      </c>
      <c r="N28" s="16">
        <f t="shared" si="0"/>
        <v>1.5</v>
      </c>
    </row>
    <row r="29" spans="1:14">
      <c r="A29" s="5">
        <v>46043</v>
      </c>
      <c r="B29" t="s">
        <v>40</v>
      </c>
      <c r="C29" t="s">
        <v>35</v>
      </c>
      <c r="D29" t="s">
        <v>242</v>
      </c>
      <c r="E29" t="s">
        <v>40</v>
      </c>
      <c r="F29" s="9">
        <v>30</v>
      </c>
      <c r="G29" t="s">
        <v>36</v>
      </c>
      <c r="H29" t="s">
        <v>37</v>
      </c>
      <c r="I29" t="s">
        <v>38</v>
      </c>
      <c r="J29" t="s">
        <v>70</v>
      </c>
      <c r="K29" t="s">
        <v>238</v>
      </c>
      <c r="L29" t="s">
        <v>241</v>
      </c>
      <c r="M29" s="15">
        <v>0.05</v>
      </c>
      <c r="N29" s="16">
        <f t="shared" si="0"/>
        <v>1.5</v>
      </c>
    </row>
    <row r="30" spans="1:14">
      <c r="A30" s="5">
        <v>46043</v>
      </c>
      <c r="B30" t="s">
        <v>40</v>
      </c>
      <c r="C30" t="s">
        <v>35</v>
      </c>
      <c r="D30" t="s">
        <v>243</v>
      </c>
      <c r="E30" t="s">
        <v>40</v>
      </c>
      <c r="F30" s="9">
        <v>30</v>
      </c>
      <c r="G30" t="s">
        <v>36</v>
      </c>
      <c r="H30" t="s">
        <v>37</v>
      </c>
      <c r="I30" t="s">
        <v>38</v>
      </c>
      <c r="J30" t="s">
        <v>71</v>
      </c>
      <c r="K30" t="s">
        <v>238</v>
      </c>
      <c r="L30" t="s">
        <v>241</v>
      </c>
      <c r="M30" s="15">
        <v>0.05</v>
      </c>
      <c r="N30" s="16">
        <f t="shared" si="0"/>
        <v>1.5</v>
      </c>
    </row>
    <row r="31" spans="1:14">
      <c r="A31" s="5">
        <v>46043</v>
      </c>
      <c r="B31" t="s">
        <v>40</v>
      </c>
      <c r="C31" t="s">
        <v>35</v>
      </c>
      <c r="D31" t="s">
        <v>244</v>
      </c>
      <c r="E31" t="s">
        <v>40</v>
      </c>
      <c r="F31" s="9">
        <v>30</v>
      </c>
      <c r="G31" t="s">
        <v>36</v>
      </c>
      <c r="H31" t="s">
        <v>37</v>
      </c>
      <c r="I31" t="s">
        <v>38</v>
      </c>
      <c r="J31" t="s">
        <v>72</v>
      </c>
      <c r="K31" t="s">
        <v>238</v>
      </c>
      <c r="L31" t="s">
        <v>241</v>
      </c>
      <c r="M31" s="15">
        <v>0.05</v>
      </c>
      <c r="N31" s="16">
        <f t="shared" si="0"/>
        <v>1.5</v>
      </c>
    </row>
    <row r="32" spans="1:14">
      <c r="A32" s="5">
        <v>46043</v>
      </c>
      <c r="B32" t="s">
        <v>40</v>
      </c>
      <c r="C32" t="s">
        <v>35</v>
      </c>
      <c r="D32" t="s">
        <v>244</v>
      </c>
      <c r="E32" t="s">
        <v>40</v>
      </c>
      <c r="F32" s="9">
        <v>30</v>
      </c>
      <c r="G32" t="s">
        <v>36</v>
      </c>
      <c r="H32" t="s">
        <v>37</v>
      </c>
      <c r="I32" t="s">
        <v>38</v>
      </c>
      <c r="J32" t="s">
        <v>73</v>
      </c>
      <c r="K32" t="s">
        <v>238</v>
      </c>
      <c r="L32" t="s">
        <v>241</v>
      </c>
      <c r="M32" s="15">
        <v>0.05</v>
      </c>
      <c r="N32" s="16">
        <f t="shared" si="0"/>
        <v>1.5</v>
      </c>
    </row>
    <row r="33" spans="1:14">
      <c r="A33" s="5">
        <v>46043</v>
      </c>
      <c r="B33" t="s">
        <v>40</v>
      </c>
      <c r="C33" t="s">
        <v>35</v>
      </c>
      <c r="D33" t="s">
        <v>244</v>
      </c>
      <c r="E33" t="s">
        <v>40</v>
      </c>
      <c r="F33" s="9">
        <v>30</v>
      </c>
      <c r="G33" t="s">
        <v>36</v>
      </c>
      <c r="H33" t="s">
        <v>37</v>
      </c>
      <c r="I33" t="s">
        <v>38</v>
      </c>
      <c r="J33" t="s">
        <v>74</v>
      </c>
      <c r="K33" t="s">
        <v>238</v>
      </c>
      <c r="L33" t="s">
        <v>241</v>
      </c>
      <c r="M33" s="15">
        <v>0.05</v>
      </c>
      <c r="N33" s="16">
        <f t="shared" si="0"/>
        <v>1.5</v>
      </c>
    </row>
    <row r="34" spans="1:14">
      <c r="A34" s="5">
        <v>46043</v>
      </c>
      <c r="B34" t="s">
        <v>40</v>
      </c>
      <c r="C34" t="s">
        <v>35</v>
      </c>
      <c r="D34" t="s">
        <v>244</v>
      </c>
      <c r="E34" t="s">
        <v>40</v>
      </c>
      <c r="F34" s="9">
        <v>30</v>
      </c>
      <c r="G34" t="s">
        <v>36</v>
      </c>
      <c r="H34" t="s">
        <v>37</v>
      </c>
      <c r="I34" t="s">
        <v>38</v>
      </c>
      <c r="J34" t="s">
        <v>75</v>
      </c>
      <c r="K34" t="s">
        <v>238</v>
      </c>
      <c r="L34" t="s">
        <v>241</v>
      </c>
      <c r="M34" s="15">
        <v>0.05</v>
      </c>
      <c r="N34" s="16">
        <f t="shared" si="0"/>
        <v>1.5</v>
      </c>
    </row>
    <row r="35" spans="1:14">
      <c r="A35" s="5">
        <v>46043</v>
      </c>
      <c r="B35" t="s">
        <v>40</v>
      </c>
      <c r="C35" t="s">
        <v>35</v>
      </c>
      <c r="D35" t="s">
        <v>244</v>
      </c>
      <c r="E35" t="s">
        <v>40</v>
      </c>
      <c r="F35" s="9">
        <v>30</v>
      </c>
      <c r="G35" t="s">
        <v>36</v>
      </c>
      <c r="H35" t="s">
        <v>37</v>
      </c>
      <c r="I35" t="s">
        <v>38</v>
      </c>
      <c r="J35" t="s">
        <v>76</v>
      </c>
      <c r="K35" t="s">
        <v>238</v>
      </c>
      <c r="L35" t="s">
        <v>241</v>
      </c>
      <c r="M35" s="15">
        <v>0.05</v>
      </c>
      <c r="N35" s="16">
        <f t="shared" si="0"/>
        <v>1.5</v>
      </c>
    </row>
    <row r="36" spans="1:14">
      <c r="A36" s="5">
        <v>46043</v>
      </c>
      <c r="B36" t="s">
        <v>40</v>
      </c>
      <c r="C36" t="s">
        <v>35</v>
      </c>
      <c r="D36" t="s">
        <v>244</v>
      </c>
      <c r="E36" t="s">
        <v>40</v>
      </c>
      <c r="F36" s="9">
        <v>30</v>
      </c>
      <c r="G36" t="s">
        <v>36</v>
      </c>
      <c r="H36" t="s">
        <v>37</v>
      </c>
      <c r="I36" t="s">
        <v>38</v>
      </c>
      <c r="J36" t="s">
        <v>77</v>
      </c>
      <c r="K36" t="s">
        <v>238</v>
      </c>
      <c r="L36" t="s">
        <v>241</v>
      </c>
      <c r="M36" s="15">
        <v>0.05</v>
      </c>
      <c r="N36" s="16">
        <f t="shared" si="0"/>
        <v>1.5</v>
      </c>
    </row>
    <row r="37" spans="1:14">
      <c r="A37" s="5">
        <v>46043</v>
      </c>
      <c r="B37" t="s">
        <v>40</v>
      </c>
      <c r="C37" t="s">
        <v>35</v>
      </c>
      <c r="D37" t="s">
        <v>242</v>
      </c>
      <c r="E37" t="s">
        <v>40</v>
      </c>
      <c r="F37" s="9">
        <v>30</v>
      </c>
      <c r="G37" t="s">
        <v>36</v>
      </c>
      <c r="H37" t="s">
        <v>37</v>
      </c>
      <c r="I37" t="s">
        <v>38</v>
      </c>
      <c r="J37" t="s">
        <v>78</v>
      </c>
      <c r="K37" t="s">
        <v>238</v>
      </c>
      <c r="L37" t="s">
        <v>241</v>
      </c>
      <c r="M37" s="15">
        <v>0.05</v>
      </c>
      <c r="N37" s="16">
        <f t="shared" si="0"/>
        <v>1.5</v>
      </c>
    </row>
    <row r="38" spans="1:14">
      <c r="A38" s="5">
        <v>46043</v>
      </c>
      <c r="B38" t="s">
        <v>40</v>
      </c>
      <c r="C38" t="s">
        <v>35</v>
      </c>
      <c r="D38" t="s">
        <v>242</v>
      </c>
      <c r="E38" t="s">
        <v>40</v>
      </c>
      <c r="F38" s="9">
        <v>30</v>
      </c>
      <c r="G38" t="s">
        <v>36</v>
      </c>
      <c r="H38" t="s">
        <v>37</v>
      </c>
      <c r="I38" t="s">
        <v>38</v>
      </c>
      <c r="J38" t="s">
        <v>79</v>
      </c>
      <c r="K38" t="s">
        <v>238</v>
      </c>
      <c r="L38" t="s">
        <v>241</v>
      </c>
      <c r="M38" s="15">
        <v>0.05</v>
      </c>
      <c r="N38" s="16">
        <f t="shared" si="0"/>
        <v>1.5</v>
      </c>
    </row>
    <row r="39" spans="1:14">
      <c r="A39" s="5">
        <v>46043</v>
      </c>
      <c r="B39" t="s">
        <v>40</v>
      </c>
      <c r="C39" t="s">
        <v>35</v>
      </c>
      <c r="D39" t="s">
        <v>242</v>
      </c>
      <c r="E39" t="s">
        <v>40</v>
      </c>
      <c r="F39" s="9">
        <v>30</v>
      </c>
      <c r="G39" t="s">
        <v>36</v>
      </c>
      <c r="H39" t="s">
        <v>37</v>
      </c>
      <c r="I39" t="s">
        <v>38</v>
      </c>
      <c r="J39" t="s">
        <v>80</v>
      </c>
      <c r="K39" t="s">
        <v>238</v>
      </c>
      <c r="L39" t="s">
        <v>241</v>
      </c>
      <c r="M39" s="15">
        <v>0.05</v>
      </c>
      <c r="N39" s="16">
        <f t="shared" si="0"/>
        <v>1.5</v>
      </c>
    </row>
    <row r="40" spans="1:14">
      <c r="A40" s="5">
        <v>46044</v>
      </c>
      <c r="B40" t="s">
        <v>40</v>
      </c>
      <c r="C40" t="s">
        <v>35</v>
      </c>
      <c r="D40" t="s">
        <v>242</v>
      </c>
      <c r="E40" t="s">
        <v>40</v>
      </c>
      <c r="F40" s="9">
        <v>30</v>
      </c>
      <c r="G40" t="s">
        <v>36</v>
      </c>
      <c r="H40" t="s">
        <v>37</v>
      </c>
      <c r="I40" t="s">
        <v>38</v>
      </c>
      <c r="J40" t="s">
        <v>81</v>
      </c>
      <c r="K40" t="s">
        <v>238</v>
      </c>
      <c r="L40" t="s">
        <v>241</v>
      </c>
      <c r="M40" s="15">
        <v>0.05</v>
      </c>
      <c r="N40" s="16">
        <f t="shared" si="0"/>
        <v>1.5</v>
      </c>
    </row>
    <row r="41" spans="1:14">
      <c r="A41" s="5">
        <v>46044</v>
      </c>
      <c r="B41" t="s">
        <v>40</v>
      </c>
      <c r="C41" t="s">
        <v>35</v>
      </c>
      <c r="D41" t="s">
        <v>242</v>
      </c>
      <c r="E41" t="s">
        <v>40</v>
      </c>
      <c r="F41" s="9">
        <v>30</v>
      </c>
      <c r="G41" t="s">
        <v>36</v>
      </c>
      <c r="H41" t="s">
        <v>37</v>
      </c>
      <c r="I41" t="s">
        <v>38</v>
      </c>
      <c r="J41" t="s">
        <v>82</v>
      </c>
      <c r="K41" t="s">
        <v>238</v>
      </c>
      <c r="L41" t="s">
        <v>241</v>
      </c>
      <c r="M41" s="15">
        <v>0.05</v>
      </c>
      <c r="N41" s="16">
        <f t="shared" si="0"/>
        <v>1.5</v>
      </c>
    </row>
    <row r="42" spans="1:14">
      <c r="A42" s="5">
        <v>46044</v>
      </c>
      <c r="B42" t="s">
        <v>40</v>
      </c>
      <c r="C42" t="s">
        <v>35</v>
      </c>
      <c r="D42" t="s">
        <v>242</v>
      </c>
      <c r="E42" t="s">
        <v>40</v>
      </c>
      <c r="F42" s="9">
        <v>30</v>
      </c>
      <c r="G42" t="s">
        <v>36</v>
      </c>
      <c r="H42" t="s">
        <v>37</v>
      </c>
      <c r="I42" t="s">
        <v>38</v>
      </c>
      <c r="J42" t="s">
        <v>83</v>
      </c>
      <c r="K42" t="s">
        <v>238</v>
      </c>
      <c r="L42" t="s">
        <v>241</v>
      </c>
      <c r="M42" s="15">
        <v>0.05</v>
      </c>
      <c r="N42" s="16">
        <f t="shared" si="0"/>
        <v>1.5</v>
      </c>
    </row>
    <row r="43" spans="1:14">
      <c r="A43" s="5">
        <v>46044</v>
      </c>
      <c r="B43" t="s">
        <v>40</v>
      </c>
      <c r="C43" t="s">
        <v>35</v>
      </c>
      <c r="D43" t="s">
        <v>244</v>
      </c>
      <c r="E43" t="s">
        <v>40</v>
      </c>
      <c r="F43" s="9">
        <v>30</v>
      </c>
      <c r="G43" t="s">
        <v>36</v>
      </c>
      <c r="H43" t="s">
        <v>37</v>
      </c>
      <c r="I43" t="s">
        <v>38</v>
      </c>
      <c r="J43" t="s">
        <v>84</v>
      </c>
      <c r="K43" t="s">
        <v>238</v>
      </c>
      <c r="L43" t="s">
        <v>241</v>
      </c>
      <c r="M43" s="15">
        <v>0.05</v>
      </c>
      <c r="N43" s="16">
        <f t="shared" si="0"/>
        <v>1.5</v>
      </c>
    </row>
    <row r="44" spans="1:14">
      <c r="A44" s="5">
        <v>46044</v>
      </c>
      <c r="B44" t="s">
        <v>40</v>
      </c>
      <c r="C44" t="s">
        <v>35</v>
      </c>
      <c r="D44" t="s">
        <v>244</v>
      </c>
      <c r="E44" t="s">
        <v>40</v>
      </c>
      <c r="F44" s="9">
        <v>30</v>
      </c>
      <c r="G44" t="s">
        <v>36</v>
      </c>
      <c r="H44" t="s">
        <v>37</v>
      </c>
      <c r="I44" t="s">
        <v>38</v>
      </c>
      <c r="J44" t="s">
        <v>85</v>
      </c>
      <c r="K44" t="s">
        <v>238</v>
      </c>
      <c r="L44" t="s">
        <v>241</v>
      </c>
      <c r="M44" s="15">
        <v>0.05</v>
      </c>
      <c r="N44" s="16">
        <f t="shared" si="0"/>
        <v>1.5</v>
      </c>
    </row>
    <row r="45" spans="1:14">
      <c r="A45" s="5">
        <v>46044</v>
      </c>
      <c r="B45" t="s">
        <v>40</v>
      </c>
      <c r="C45" t="s">
        <v>35</v>
      </c>
      <c r="D45" t="s">
        <v>244</v>
      </c>
      <c r="E45" t="s">
        <v>40</v>
      </c>
      <c r="F45" s="9">
        <v>30</v>
      </c>
      <c r="G45" t="s">
        <v>36</v>
      </c>
      <c r="H45" t="s">
        <v>37</v>
      </c>
      <c r="I45" t="s">
        <v>38</v>
      </c>
      <c r="J45" t="s">
        <v>86</v>
      </c>
      <c r="K45" t="s">
        <v>238</v>
      </c>
      <c r="L45" t="s">
        <v>241</v>
      </c>
      <c r="M45" s="15">
        <v>0.05</v>
      </c>
      <c r="N45" s="16">
        <f t="shared" si="0"/>
        <v>1.5</v>
      </c>
    </row>
    <row r="46" spans="1:14">
      <c r="A46" s="5">
        <v>46044</v>
      </c>
      <c r="B46" t="s">
        <v>40</v>
      </c>
      <c r="C46" t="s">
        <v>35</v>
      </c>
      <c r="D46" t="s">
        <v>244</v>
      </c>
      <c r="E46" t="s">
        <v>40</v>
      </c>
      <c r="F46" s="9">
        <v>30</v>
      </c>
      <c r="G46" t="s">
        <v>36</v>
      </c>
      <c r="H46" t="s">
        <v>37</v>
      </c>
      <c r="I46" t="s">
        <v>38</v>
      </c>
      <c r="J46" t="s">
        <v>87</v>
      </c>
      <c r="K46" t="s">
        <v>238</v>
      </c>
      <c r="L46" t="s">
        <v>240</v>
      </c>
      <c r="M46" s="15">
        <v>0.05</v>
      </c>
      <c r="N46" s="16">
        <f t="shared" si="0"/>
        <v>1.5</v>
      </c>
    </row>
    <row r="47" spans="1:14">
      <c r="A47" s="5">
        <v>46044</v>
      </c>
      <c r="B47" t="s">
        <v>40</v>
      </c>
      <c r="C47" t="s">
        <v>35</v>
      </c>
      <c r="D47" t="s">
        <v>244</v>
      </c>
      <c r="E47" t="s">
        <v>40</v>
      </c>
      <c r="F47" s="9">
        <v>30</v>
      </c>
      <c r="G47" t="s">
        <v>36</v>
      </c>
      <c r="H47" t="s">
        <v>37</v>
      </c>
      <c r="I47" t="s">
        <v>38</v>
      </c>
      <c r="J47" t="s">
        <v>88</v>
      </c>
      <c r="K47" t="s">
        <v>238</v>
      </c>
      <c r="L47" t="s">
        <v>240</v>
      </c>
      <c r="M47" s="15">
        <v>0.05</v>
      </c>
      <c r="N47" s="16">
        <f t="shared" si="0"/>
        <v>1.5</v>
      </c>
    </row>
    <row r="48" spans="1:14">
      <c r="A48" s="5">
        <v>46044</v>
      </c>
      <c r="B48" t="s">
        <v>40</v>
      </c>
      <c r="C48" t="s">
        <v>35</v>
      </c>
      <c r="D48" t="s">
        <v>244</v>
      </c>
      <c r="E48" t="s">
        <v>40</v>
      </c>
      <c r="F48" s="9">
        <v>30</v>
      </c>
      <c r="G48" t="s">
        <v>36</v>
      </c>
      <c r="H48" t="s">
        <v>37</v>
      </c>
      <c r="I48" t="s">
        <v>38</v>
      </c>
      <c r="J48" t="s">
        <v>89</v>
      </c>
      <c r="K48" t="s">
        <v>238</v>
      </c>
      <c r="L48" t="s">
        <v>240</v>
      </c>
      <c r="M48" s="15">
        <v>0.05</v>
      </c>
      <c r="N48" s="16">
        <f t="shared" si="0"/>
        <v>1.5</v>
      </c>
    </row>
    <row r="49" spans="1:14">
      <c r="A49" s="5">
        <v>46044</v>
      </c>
      <c r="B49" t="s">
        <v>40</v>
      </c>
      <c r="C49" t="s">
        <v>35</v>
      </c>
      <c r="D49" t="s">
        <v>244</v>
      </c>
      <c r="E49" t="s">
        <v>40</v>
      </c>
      <c r="F49" s="9">
        <v>30</v>
      </c>
      <c r="G49" t="s">
        <v>36</v>
      </c>
      <c r="H49" t="s">
        <v>37</v>
      </c>
      <c r="I49" t="s">
        <v>38</v>
      </c>
      <c r="J49" t="s">
        <v>90</v>
      </c>
      <c r="K49" t="s">
        <v>238</v>
      </c>
      <c r="L49" t="s">
        <v>240</v>
      </c>
      <c r="M49" s="15">
        <v>0.05</v>
      </c>
      <c r="N49" s="16">
        <f t="shared" si="0"/>
        <v>1.5</v>
      </c>
    </row>
    <row r="50" spans="1:14">
      <c r="A50" s="5">
        <v>46044</v>
      </c>
      <c r="B50" t="s">
        <v>40</v>
      </c>
      <c r="C50" t="s">
        <v>35</v>
      </c>
      <c r="D50" t="s">
        <v>244</v>
      </c>
      <c r="E50" t="s">
        <v>40</v>
      </c>
      <c r="F50" s="9">
        <v>30</v>
      </c>
      <c r="G50" t="s">
        <v>36</v>
      </c>
      <c r="H50" t="s">
        <v>37</v>
      </c>
      <c r="I50" t="s">
        <v>38</v>
      </c>
      <c r="J50" t="s">
        <v>91</v>
      </c>
      <c r="K50" t="s">
        <v>238</v>
      </c>
      <c r="L50" t="s">
        <v>240</v>
      </c>
      <c r="M50" s="15">
        <v>0.05</v>
      </c>
      <c r="N50" s="16">
        <f t="shared" si="0"/>
        <v>1.5</v>
      </c>
    </row>
    <row r="51" spans="1:14">
      <c r="A51" s="5">
        <v>46044</v>
      </c>
      <c r="B51" t="s">
        <v>40</v>
      </c>
      <c r="C51" t="s">
        <v>35</v>
      </c>
      <c r="D51" t="s">
        <v>244</v>
      </c>
      <c r="E51" t="s">
        <v>40</v>
      </c>
      <c r="F51" s="9">
        <v>30</v>
      </c>
      <c r="G51" t="s">
        <v>36</v>
      </c>
      <c r="H51" t="s">
        <v>37</v>
      </c>
      <c r="I51" t="s">
        <v>38</v>
      </c>
      <c r="J51" t="s">
        <v>92</v>
      </c>
      <c r="K51" t="s">
        <v>238</v>
      </c>
      <c r="L51" t="s">
        <v>240</v>
      </c>
      <c r="M51" s="15">
        <v>0.05</v>
      </c>
      <c r="N51" s="16">
        <f t="shared" si="0"/>
        <v>1.5</v>
      </c>
    </row>
    <row r="52" spans="1:14">
      <c r="A52" s="5">
        <v>46044</v>
      </c>
      <c r="B52" t="s">
        <v>40</v>
      </c>
      <c r="C52" t="s">
        <v>35</v>
      </c>
      <c r="D52" t="s">
        <v>244</v>
      </c>
      <c r="E52" t="s">
        <v>40</v>
      </c>
      <c r="F52" s="9">
        <v>30</v>
      </c>
      <c r="G52" t="s">
        <v>36</v>
      </c>
      <c r="H52" t="s">
        <v>37</v>
      </c>
      <c r="I52" t="s">
        <v>38</v>
      </c>
      <c r="J52" t="s">
        <v>93</v>
      </c>
      <c r="K52" t="s">
        <v>238</v>
      </c>
      <c r="L52" t="s">
        <v>240</v>
      </c>
      <c r="M52" s="15">
        <v>0.05</v>
      </c>
      <c r="N52" s="16">
        <f t="shared" si="0"/>
        <v>1.5</v>
      </c>
    </row>
    <row r="53" spans="1:14">
      <c r="A53" s="5">
        <v>46044</v>
      </c>
      <c r="B53" t="s">
        <v>40</v>
      </c>
      <c r="C53" t="s">
        <v>35</v>
      </c>
      <c r="D53" t="s">
        <v>244</v>
      </c>
      <c r="E53" t="s">
        <v>40</v>
      </c>
      <c r="F53" s="9">
        <v>30</v>
      </c>
      <c r="G53" t="s">
        <v>36</v>
      </c>
      <c r="H53" t="s">
        <v>37</v>
      </c>
      <c r="I53" t="s">
        <v>38</v>
      </c>
      <c r="J53" t="s">
        <v>94</v>
      </c>
      <c r="K53" t="s">
        <v>238</v>
      </c>
      <c r="L53" t="s">
        <v>240</v>
      </c>
      <c r="M53" s="15">
        <v>0.05</v>
      </c>
      <c r="N53" s="16">
        <f t="shared" si="0"/>
        <v>1.5</v>
      </c>
    </row>
    <row r="54" spans="1:14">
      <c r="A54" s="5">
        <v>46044</v>
      </c>
      <c r="B54" t="s">
        <v>40</v>
      </c>
      <c r="C54" t="s">
        <v>35</v>
      </c>
      <c r="D54" t="s">
        <v>244</v>
      </c>
      <c r="E54" t="s">
        <v>40</v>
      </c>
      <c r="F54" s="9">
        <v>30</v>
      </c>
      <c r="G54" t="s">
        <v>36</v>
      </c>
      <c r="H54" t="s">
        <v>37</v>
      </c>
      <c r="I54" t="s">
        <v>38</v>
      </c>
      <c r="J54" t="s">
        <v>95</v>
      </c>
      <c r="K54" t="s">
        <v>238</v>
      </c>
      <c r="L54" t="s">
        <v>240</v>
      </c>
      <c r="M54" s="15">
        <v>0.05</v>
      </c>
      <c r="N54" s="16">
        <f t="shared" si="0"/>
        <v>1.5</v>
      </c>
    </row>
    <row r="55" spans="1:14">
      <c r="A55" s="5">
        <v>46044</v>
      </c>
      <c r="B55" t="s">
        <v>40</v>
      </c>
      <c r="C55" t="s">
        <v>35</v>
      </c>
      <c r="D55" t="s">
        <v>244</v>
      </c>
      <c r="E55" t="s">
        <v>40</v>
      </c>
      <c r="F55" s="9">
        <v>30</v>
      </c>
      <c r="G55" t="s">
        <v>36</v>
      </c>
      <c r="H55" t="s">
        <v>37</v>
      </c>
      <c r="I55" t="s">
        <v>38</v>
      </c>
      <c r="J55" t="s">
        <v>96</v>
      </c>
      <c r="K55" t="s">
        <v>238</v>
      </c>
      <c r="L55" t="s">
        <v>241</v>
      </c>
      <c r="M55" s="15">
        <v>0.05</v>
      </c>
      <c r="N55" s="16">
        <f t="shared" si="0"/>
        <v>1.5</v>
      </c>
    </row>
    <row r="56" spans="1:14">
      <c r="A56" s="5">
        <v>46044</v>
      </c>
      <c r="B56" t="s">
        <v>40</v>
      </c>
      <c r="C56" t="s">
        <v>35</v>
      </c>
      <c r="D56" t="s">
        <v>244</v>
      </c>
      <c r="E56" t="s">
        <v>40</v>
      </c>
      <c r="F56" s="9">
        <v>30</v>
      </c>
      <c r="G56" t="s">
        <v>36</v>
      </c>
      <c r="H56" t="s">
        <v>37</v>
      </c>
      <c r="I56" t="s">
        <v>38</v>
      </c>
      <c r="J56" t="s">
        <v>97</v>
      </c>
      <c r="K56" t="s">
        <v>238</v>
      </c>
      <c r="L56" t="s">
        <v>241</v>
      </c>
      <c r="M56" s="15">
        <v>0.05</v>
      </c>
      <c r="N56" s="16">
        <f t="shared" si="0"/>
        <v>1.5</v>
      </c>
    </row>
    <row r="57" spans="1:14">
      <c r="A57" s="5">
        <v>46044</v>
      </c>
      <c r="B57" t="s">
        <v>40</v>
      </c>
      <c r="C57" t="s">
        <v>35</v>
      </c>
      <c r="D57" t="s">
        <v>244</v>
      </c>
      <c r="E57" t="s">
        <v>40</v>
      </c>
      <c r="F57" s="9">
        <v>30</v>
      </c>
      <c r="G57" t="s">
        <v>36</v>
      </c>
      <c r="H57" t="s">
        <v>37</v>
      </c>
      <c r="I57" t="s">
        <v>38</v>
      </c>
      <c r="J57" t="s">
        <v>98</v>
      </c>
      <c r="K57" t="s">
        <v>238</v>
      </c>
      <c r="L57" t="s">
        <v>241</v>
      </c>
      <c r="M57" s="15">
        <v>0.05</v>
      </c>
      <c r="N57" s="16">
        <f t="shared" si="0"/>
        <v>1.5</v>
      </c>
    </row>
    <row r="58" spans="1:14">
      <c r="A58" s="5">
        <v>46044</v>
      </c>
      <c r="B58" t="s">
        <v>40</v>
      </c>
      <c r="C58" t="s">
        <v>35</v>
      </c>
      <c r="D58" t="s">
        <v>244</v>
      </c>
      <c r="E58" t="s">
        <v>40</v>
      </c>
      <c r="F58" s="9">
        <v>30</v>
      </c>
      <c r="G58" t="s">
        <v>36</v>
      </c>
      <c r="H58" t="s">
        <v>37</v>
      </c>
      <c r="I58" t="s">
        <v>38</v>
      </c>
      <c r="J58" t="s">
        <v>99</v>
      </c>
      <c r="K58" t="s">
        <v>238</v>
      </c>
      <c r="L58" t="s">
        <v>241</v>
      </c>
      <c r="M58" s="15">
        <v>0.05</v>
      </c>
      <c r="N58" s="16">
        <f t="shared" si="0"/>
        <v>1.5</v>
      </c>
    </row>
    <row r="59" spans="1:14">
      <c r="A59" s="5">
        <v>46044</v>
      </c>
      <c r="B59" t="s">
        <v>40</v>
      </c>
      <c r="C59" t="s">
        <v>35</v>
      </c>
      <c r="D59" t="s">
        <v>244</v>
      </c>
      <c r="E59" t="s">
        <v>40</v>
      </c>
      <c r="F59" s="9">
        <v>30</v>
      </c>
      <c r="G59" t="s">
        <v>36</v>
      </c>
      <c r="H59" t="s">
        <v>37</v>
      </c>
      <c r="I59" t="s">
        <v>38</v>
      </c>
      <c r="J59" t="s">
        <v>100</v>
      </c>
      <c r="K59" t="s">
        <v>238</v>
      </c>
      <c r="L59" t="s">
        <v>241</v>
      </c>
      <c r="M59" s="15">
        <v>0.05</v>
      </c>
      <c r="N59" s="16">
        <f t="shared" si="0"/>
        <v>1.5</v>
      </c>
    </row>
    <row r="60" spans="1:14">
      <c r="A60" s="5">
        <v>46044</v>
      </c>
      <c r="B60" t="s">
        <v>40</v>
      </c>
      <c r="C60" t="s">
        <v>35</v>
      </c>
      <c r="D60" t="s">
        <v>244</v>
      </c>
      <c r="E60" t="s">
        <v>40</v>
      </c>
      <c r="F60" s="9">
        <v>30</v>
      </c>
      <c r="G60" t="s">
        <v>36</v>
      </c>
      <c r="H60" t="s">
        <v>37</v>
      </c>
      <c r="I60" t="s">
        <v>38</v>
      </c>
      <c r="J60" t="s">
        <v>101</v>
      </c>
      <c r="K60" t="s">
        <v>238</v>
      </c>
      <c r="L60" t="s">
        <v>241</v>
      </c>
      <c r="M60" s="15">
        <v>0.05</v>
      </c>
      <c r="N60" s="16">
        <f t="shared" si="0"/>
        <v>1.5</v>
      </c>
    </row>
    <row r="61" spans="1:14">
      <c r="A61" s="5">
        <v>46044</v>
      </c>
      <c r="B61" t="s">
        <v>40</v>
      </c>
      <c r="C61" t="s">
        <v>35</v>
      </c>
      <c r="D61" t="s">
        <v>244</v>
      </c>
      <c r="E61" t="s">
        <v>40</v>
      </c>
      <c r="F61" s="9">
        <v>30</v>
      </c>
      <c r="G61" t="s">
        <v>36</v>
      </c>
      <c r="H61" t="s">
        <v>37</v>
      </c>
      <c r="I61" t="s">
        <v>38</v>
      </c>
      <c r="J61" t="s">
        <v>102</v>
      </c>
      <c r="K61" t="s">
        <v>238</v>
      </c>
      <c r="L61" t="s">
        <v>241</v>
      </c>
      <c r="M61" s="15">
        <v>0.05</v>
      </c>
      <c r="N61" s="16">
        <f t="shared" si="0"/>
        <v>1.5</v>
      </c>
    </row>
    <row r="62" spans="1:14">
      <c r="A62" s="5">
        <v>46044</v>
      </c>
      <c r="B62" t="s">
        <v>40</v>
      </c>
      <c r="C62" t="s">
        <v>35</v>
      </c>
      <c r="D62" t="s">
        <v>244</v>
      </c>
      <c r="E62" t="s">
        <v>40</v>
      </c>
      <c r="F62" s="9">
        <v>30</v>
      </c>
      <c r="G62" t="s">
        <v>36</v>
      </c>
      <c r="H62" t="s">
        <v>37</v>
      </c>
      <c r="I62" t="s">
        <v>38</v>
      </c>
      <c r="J62" t="s">
        <v>103</v>
      </c>
      <c r="K62" t="s">
        <v>238</v>
      </c>
      <c r="L62" t="s">
        <v>241</v>
      </c>
      <c r="M62" s="15">
        <v>0.05</v>
      </c>
      <c r="N62" s="16">
        <f t="shared" si="0"/>
        <v>1.5</v>
      </c>
    </row>
    <row r="63" spans="1:14">
      <c r="A63" s="5">
        <v>46044</v>
      </c>
      <c r="B63" t="s">
        <v>40</v>
      </c>
      <c r="C63" t="s">
        <v>35</v>
      </c>
      <c r="D63" t="s">
        <v>244</v>
      </c>
      <c r="E63" t="s">
        <v>40</v>
      </c>
      <c r="F63" s="9">
        <v>30</v>
      </c>
      <c r="G63" t="s">
        <v>36</v>
      </c>
      <c r="H63" t="s">
        <v>37</v>
      </c>
      <c r="I63" t="s">
        <v>38</v>
      </c>
      <c r="J63" t="s">
        <v>104</v>
      </c>
      <c r="K63" t="s">
        <v>238</v>
      </c>
      <c r="L63" t="s">
        <v>241</v>
      </c>
      <c r="M63" s="15">
        <v>0.05</v>
      </c>
      <c r="N63" s="16">
        <f t="shared" si="0"/>
        <v>1.5</v>
      </c>
    </row>
    <row r="64" spans="1:14">
      <c r="A64" s="5">
        <v>46044</v>
      </c>
      <c r="B64" t="s">
        <v>40</v>
      </c>
      <c r="C64" t="s">
        <v>35</v>
      </c>
      <c r="D64" t="s">
        <v>244</v>
      </c>
      <c r="E64" t="s">
        <v>40</v>
      </c>
      <c r="F64" s="9">
        <v>30</v>
      </c>
      <c r="G64" t="s">
        <v>36</v>
      </c>
      <c r="H64" t="s">
        <v>37</v>
      </c>
      <c r="I64" t="s">
        <v>38</v>
      </c>
      <c r="J64" t="s">
        <v>105</v>
      </c>
      <c r="K64" t="s">
        <v>238</v>
      </c>
      <c r="L64" t="s">
        <v>241</v>
      </c>
      <c r="M64" s="15">
        <v>0.05</v>
      </c>
      <c r="N64" s="16">
        <f t="shared" si="0"/>
        <v>1.5</v>
      </c>
    </row>
    <row r="65" spans="1:14">
      <c r="A65" s="5">
        <v>46045</v>
      </c>
      <c r="B65" t="s">
        <v>40</v>
      </c>
      <c r="C65" t="s">
        <v>35</v>
      </c>
      <c r="D65" t="s">
        <v>244</v>
      </c>
      <c r="E65" t="s">
        <v>40</v>
      </c>
      <c r="F65" s="9">
        <v>60</v>
      </c>
      <c r="G65" t="s">
        <v>36</v>
      </c>
      <c r="H65" t="s">
        <v>37</v>
      </c>
      <c r="I65" t="s">
        <v>38</v>
      </c>
      <c r="J65" t="s">
        <v>106</v>
      </c>
      <c r="K65" t="s">
        <v>238</v>
      </c>
      <c r="L65" t="s">
        <v>241</v>
      </c>
      <c r="M65" s="15">
        <v>0.05</v>
      </c>
      <c r="N65" s="16">
        <f t="shared" si="0"/>
        <v>3</v>
      </c>
    </row>
    <row r="66" spans="1:14">
      <c r="A66" s="5">
        <v>46045</v>
      </c>
      <c r="B66" t="s">
        <v>40</v>
      </c>
      <c r="C66" t="s">
        <v>35</v>
      </c>
      <c r="D66" t="s">
        <v>244</v>
      </c>
      <c r="E66" t="s">
        <v>40</v>
      </c>
      <c r="F66" s="9">
        <v>60</v>
      </c>
      <c r="G66" t="s">
        <v>36</v>
      </c>
      <c r="H66" t="s">
        <v>37</v>
      </c>
      <c r="I66" t="s">
        <v>38</v>
      </c>
      <c r="J66" t="s">
        <v>107</v>
      </c>
      <c r="K66" t="s">
        <v>238</v>
      </c>
      <c r="L66" t="s">
        <v>240</v>
      </c>
      <c r="M66" s="15">
        <v>0.05</v>
      </c>
      <c r="N66" s="16">
        <f t="shared" si="0"/>
        <v>3</v>
      </c>
    </row>
    <row r="67" spans="1:14">
      <c r="A67" s="5">
        <v>46045</v>
      </c>
      <c r="B67" t="s">
        <v>40</v>
      </c>
      <c r="C67" t="s">
        <v>35</v>
      </c>
      <c r="D67" t="s">
        <v>244</v>
      </c>
      <c r="E67" t="s">
        <v>40</v>
      </c>
      <c r="F67" s="9">
        <v>60</v>
      </c>
      <c r="G67" t="s">
        <v>36</v>
      </c>
      <c r="H67" t="s">
        <v>37</v>
      </c>
      <c r="I67" t="s">
        <v>38</v>
      </c>
      <c r="J67" t="s">
        <v>108</v>
      </c>
      <c r="K67" t="s">
        <v>238</v>
      </c>
      <c r="L67" t="s">
        <v>240</v>
      </c>
      <c r="M67" s="15">
        <v>0.05</v>
      </c>
      <c r="N67" s="16">
        <f t="shared" si="0"/>
        <v>3</v>
      </c>
    </row>
    <row r="68" spans="1:14">
      <c r="A68" s="5">
        <v>46045</v>
      </c>
      <c r="B68" t="s">
        <v>40</v>
      </c>
      <c r="C68" t="s">
        <v>35</v>
      </c>
      <c r="D68" t="s">
        <v>244</v>
      </c>
      <c r="E68" t="s">
        <v>40</v>
      </c>
      <c r="F68" s="9">
        <v>60</v>
      </c>
      <c r="G68" t="s">
        <v>36</v>
      </c>
      <c r="H68" t="s">
        <v>37</v>
      </c>
      <c r="I68" t="s">
        <v>38</v>
      </c>
      <c r="J68" t="s">
        <v>109</v>
      </c>
      <c r="K68" t="s">
        <v>238</v>
      </c>
      <c r="L68" t="s">
        <v>240</v>
      </c>
      <c r="M68" s="15">
        <v>0.05</v>
      </c>
      <c r="N68" s="16">
        <f t="shared" si="0"/>
        <v>3</v>
      </c>
    </row>
    <row r="69" spans="1:14">
      <c r="A69" s="5">
        <v>46045</v>
      </c>
      <c r="B69" t="s">
        <v>40</v>
      </c>
      <c r="C69" t="s">
        <v>35</v>
      </c>
      <c r="D69" t="s">
        <v>244</v>
      </c>
      <c r="E69" t="s">
        <v>40</v>
      </c>
      <c r="F69" s="9">
        <v>60</v>
      </c>
      <c r="G69" t="s">
        <v>36</v>
      </c>
      <c r="H69" t="s">
        <v>37</v>
      </c>
      <c r="I69" t="s">
        <v>38</v>
      </c>
      <c r="J69" t="s">
        <v>110</v>
      </c>
      <c r="K69" t="s">
        <v>238</v>
      </c>
      <c r="L69" t="s">
        <v>240</v>
      </c>
      <c r="M69" s="15">
        <v>0.05</v>
      </c>
      <c r="N69" s="16">
        <f t="shared" ref="N69:N132" si="1">(F69*M69)</f>
        <v>3</v>
      </c>
    </row>
    <row r="70" spans="1:14">
      <c r="A70" s="5">
        <v>46045</v>
      </c>
      <c r="B70" t="s">
        <v>40</v>
      </c>
      <c r="C70" t="s">
        <v>35</v>
      </c>
      <c r="D70" t="s">
        <v>244</v>
      </c>
      <c r="E70" t="s">
        <v>40</v>
      </c>
      <c r="F70" s="9">
        <v>60</v>
      </c>
      <c r="G70" t="s">
        <v>36</v>
      </c>
      <c r="H70" t="s">
        <v>37</v>
      </c>
      <c r="I70" t="s">
        <v>38</v>
      </c>
      <c r="J70" t="s">
        <v>111</v>
      </c>
      <c r="K70" t="s">
        <v>238</v>
      </c>
      <c r="L70" t="s">
        <v>240</v>
      </c>
      <c r="M70" s="15">
        <v>0.05</v>
      </c>
      <c r="N70" s="16">
        <f t="shared" si="1"/>
        <v>3</v>
      </c>
    </row>
    <row r="71" spans="1:14">
      <c r="A71" s="5">
        <v>46045</v>
      </c>
      <c r="B71" t="s">
        <v>40</v>
      </c>
      <c r="C71" t="s">
        <v>35</v>
      </c>
      <c r="D71" t="s">
        <v>244</v>
      </c>
      <c r="E71" t="s">
        <v>40</v>
      </c>
      <c r="F71" s="9">
        <v>60</v>
      </c>
      <c r="G71" t="s">
        <v>36</v>
      </c>
      <c r="H71" t="s">
        <v>37</v>
      </c>
      <c r="I71" t="s">
        <v>38</v>
      </c>
      <c r="J71" t="s">
        <v>112</v>
      </c>
      <c r="K71" t="s">
        <v>238</v>
      </c>
      <c r="L71" t="s">
        <v>240</v>
      </c>
      <c r="M71" s="15">
        <v>0.05</v>
      </c>
      <c r="N71" s="16">
        <f t="shared" si="1"/>
        <v>3</v>
      </c>
    </row>
    <row r="72" spans="1:14">
      <c r="A72" s="5">
        <v>46045</v>
      </c>
      <c r="B72" t="s">
        <v>40</v>
      </c>
      <c r="C72" t="s">
        <v>35</v>
      </c>
      <c r="D72" t="s">
        <v>244</v>
      </c>
      <c r="E72" t="s">
        <v>40</v>
      </c>
      <c r="F72" s="9">
        <v>60</v>
      </c>
      <c r="G72" t="s">
        <v>36</v>
      </c>
      <c r="H72" t="s">
        <v>37</v>
      </c>
      <c r="I72" t="s">
        <v>38</v>
      </c>
      <c r="J72" t="s">
        <v>113</v>
      </c>
      <c r="K72" t="s">
        <v>238</v>
      </c>
      <c r="L72" t="s">
        <v>240</v>
      </c>
      <c r="M72" s="15">
        <v>0.05</v>
      </c>
      <c r="N72" s="16">
        <f t="shared" si="1"/>
        <v>3</v>
      </c>
    </row>
    <row r="73" spans="1:14">
      <c r="A73" s="5">
        <v>46045</v>
      </c>
      <c r="B73" t="s">
        <v>40</v>
      </c>
      <c r="C73" t="s">
        <v>35</v>
      </c>
      <c r="D73" t="s">
        <v>244</v>
      </c>
      <c r="E73" t="s">
        <v>40</v>
      </c>
      <c r="F73" s="9">
        <v>60</v>
      </c>
      <c r="G73" t="s">
        <v>36</v>
      </c>
      <c r="H73" t="s">
        <v>37</v>
      </c>
      <c r="I73" t="s">
        <v>38</v>
      </c>
      <c r="J73" t="s">
        <v>114</v>
      </c>
      <c r="K73" t="s">
        <v>238</v>
      </c>
      <c r="L73" t="s">
        <v>240</v>
      </c>
      <c r="M73" s="15">
        <v>0.05</v>
      </c>
      <c r="N73" s="16">
        <f t="shared" si="1"/>
        <v>3</v>
      </c>
    </row>
    <row r="74" spans="1:14">
      <c r="A74" s="5">
        <v>46045</v>
      </c>
      <c r="B74" t="s">
        <v>40</v>
      </c>
      <c r="C74" t="s">
        <v>35</v>
      </c>
      <c r="D74" t="s">
        <v>244</v>
      </c>
      <c r="E74" t="s">
        <v>40</v>
      </c>
      <c r="F74" s="9">
        <v>60</v>
      </c>
      <c r="G74" t="s">
        <v>36</v>
      </c>
      <c r="H74" t="s">
        <v>37</v>
      </c>
      <c r="I74" t="s">
        <v>38</v>
      </c>
      <c r="J74" t="s">
        <v>115</v>
      </c>
      <c r="K74" t="s">
        <v>238</v>
      </c>
      <c r="L74" t="s">
        <v>240</v>
      </c>
      <c r="M74" s="15">
        <v>0.05</v>
      </c>
      <c r="N74" s="16">
        <f t="shared" si="1"/>
        <v>3</v>
      </c>
    </row>
    <row r="75" spans="1:14">
      <c r="A75" s="5">
        <v>46045</v>
      </c>
      <c r="B75" t="s">
        <v>40</v>
      </c>
      <c r="C75" t="s">
        <v>35</v>
      </c>
      <c r="D75" t="s">
        <v>244</v>
      </c>
      <c r="E75" t="s">
        <v>40</v>
      </c>
      <c r="F75" s="9">
        <v>60</v>
      </c>
      <c r="G75" t="s">
        <v>36</v>
      </c>
      <c r="H75" t="s">
        <v>37</v>
      </c>
      <c r="I75" t="s">
        <v>38</v>
      </c>
      <c r="J75" t="s">
        <v>116</v>
      </c>
      <c r="K75" t="s">
        <v>238</v>
      </c>
      <c r="L75" t="s">
        <v>241</v>
      </c>
      <c r="M75" s="15">
        <v>0.05</v>
      </c>
      <c r="N75" s="16">
        <f t="shared" si="1"/>
        <v>3</v>
      </c>
    </row>
    <row r="76" spans="1:14">
      <c r="A76" s="5">
        <v>46045</v>
      </c>
      <c r="B76" t="s">
        <v>40</v>
      </c>
      <c r="C76" t="s">
        <v>35</v>
      </c>
      <c r="D76" t="s">
        <v>244</v>
      </c>
      <c r="E76" t="s">
        <v>40</v>
      </c>
      <c r="F76" s="9">
        <v>60</v>
      </c>
      <c r="G76" t="s">
        <v>36</v>
      </c>
      <c r="H76" t="s">
        <v>37</v>
      </c>
      <c r="I76" t="s">
        <v>38</v>
      </c>
      <c r="J76" t="s">
        <v>117</v>
      </c>
      <c r="K76" t="s">
        <v>238</v>
      </c>
      <c r="L76" t="s">
        <v>241</v>
      </c>
      <c r="M76" s="15">
        <v>0.05</v>
      </c>
      <c r="N76" s="16">
        <f t="shared" si="1"/>
        <v>3</v>
      </c>
    </row>
    <row r="77" spans="1:14">
      <c r="A77" s="5">
        <v>46045</v>
      </c>
      <c r="B77" t="s">
        <v>40</v>
      </c>
      <c r="C77" t="s">
        <v>35</v>
      </c>
      <c r="D77" t="s">
        <v>244</v>
      </c>
      <c r="E77" t="s">
        <v>40</v>
      </c>
      <c r="F77" s="9">
        <v>60</v>
      </c>
      <c r="G77" t="s">
        <v>36</v>
      </c>
      <c r="H77" t="s">
        <v>37</v>
      </c>
      <c r="I77" t="s">
        <v>38</v>
      </c>
      <c r="J77" t="s">
        <v>118</v>
      </c>
      <c r="K77" t="s">
        <v>238</v>
      </c>
      <c r="L77" t="s">
        <v>241</v>
      </c>
      <c r="M77" s="15">
        <v>0.05</v>
      </c>
      <c r="N77" s="16">
        <f t="shared" si="1"/>
        <v>3</v>
      </c>
    </row>
    <row r="78" spans="1:14">
      <c r="A78" s="5">
        <v>46055</v>
      </c>
      <c r="B78" t="s">
        <v>40</v>
      </c>
      <c r="C78" t="s">
        <v>35</v>
      </c>
      <c r="D78" t="s">
        <v>244</v>
      </c>
      <c r="E78" t="s">
        <v>40</v>
      </c>
      <c r="F78" s="9">
        <v>60</v>
      </c>
      <c r="G78" t="s">
        <v>36</v>
      </c>
      <c r="H78" t="s">
        <v>41</v>
      </c>
      <c r="I78" t="s">
        <v>38</v>
      </c>
      <c r="J78" t="s">
        <v>119</v>
      </c>
      <c r="K78" t="s">
        <v>238</v>
      </c>
      <c r="L78" t="s">
        <v>241</v>
      </c>
      <c r="M78" s="15">
        <v>0.05</v>
      </c>
      <c r="N78" s="16">
        <f t="shared" si="1"/>
        <v>3</v>
      </c>
    </row>
    <row r="79" spans="1:14">
      <c r="A79" s="5">
        <v>46056</v>
      </c>
      <c r="B79" t="s">
        <v>40</v>
      </c>
      <c r="C79" t="s">
        <v>35</v>
      </c>
      <c r="D79" t="s">
        <v>244</v>
      </c>
      <c r="E79" t="s">
        <v>40</v>
      </c>
      <c r="F79" s="9">
        <v>30</v>
      </c>
      <c r="G79" t="s">
        <v>36</v>
      </c>
      <c r="H79" t="s">
        <v>37</v>
      </c>
      <c r="I79" t="s">
        <v>38</v>
      </c>
      <c r="J79" t="s">
        <v>120</v>
      </c>
      <c r="K79" t="s">
        <v>238</v>
      </c>
      <c r="L79" t="s">
        <v>239</v>
      </c>
      <c r="M79" s="15">
        <v>0.05</v>
      </c>
      <c r="N79" s="16">
        <f t="shared" si="1"/>
        <v>1.5</v>
      </c>
    </row>
    <row r="80" spans="1:14">
      <c r="A80" s="5">
        <v>46057</v>
      </c>
      <c r="B80" t="s">
        <v>40</v>
      </c>
      <c r="C80" t="s">
        <v>35</v>
      </c>
      <c r="D80" t="s">
        <v>244</v>
      </c>
      <c r="E80" t="s">
        <v>40</v>
      </c>
      <c r="F80" s="9">
        <v>30</v>
      </c>
      <c r="G80" t="s">
        <v>36</v>
      </c>
      <c r="H80" t="s">
        <v>37</v>
      </c>
      <c r="I80" t="s">
        <v>38</v>
      </c>
      <c r="J80" t="s">
        <v>121</v>
      </c>
      <c r="K80" t="s">
        <v>238</v>
      </c>
      <c r="L80" t="s">
        <v>239</v>
      </c>
      <c r="M80" s="15">
        <v>0.05</v>
      </c>
      <c r="N80" s="16">
        <f t="shared" si="1"/>
        <v>1.5</v>
      </c>
    </row>
    <row r="81" spans="1:14">
      <c r="A81" s="5">
        <v>46058</v>
      </c>
      <c r="B81" t="s">
        <v>40</v>
      </c>
      <c r="C81" t="s">
        <v>35</v>
      </c>
      <c r="D81" t="s">
        <v>244</v>
      </c>
      <c r="E81" t="s">
        <v>40</v>
      </c>
      <c r="F81" s="9">
        <v>60</v>
      </c>
      <c r="G81" t="s">
        <v>36</v>
      </c>
      <c r="H81" t="s">
        <v>37</v>
      </c>
      <c r="I81" t="s">
        <v>38</v>
      </c>
      <c r="J81" t="s">
        <v>122</v>
      </c>
      <c r="K81" t="s">
        <v>238</v>
      </c>
      <c r="L81" t="s">
        <v>239</v>
      </c>
      <c r="M81" s="15">
        <v>0.05</v>
      </c>
      <c r="N81" s="16">
        <f t="shared" si="1"/>
        <v>3</v>
      </c>
    </row>
    <row r="82" spans="1:14">
      <c r="A82" s="5">
        <v>46059</v>
      </c>
      <c r="B82" t="s">
        <v>40</v>
      </c>
      <c r="C82" t="s">
        <v>35</v>
      </c>
      <c r="D82" t="s">
        <v>242</v>
      </c>
      <c r="E82" t="s">
        <v>40</v>
      </c>
      <c r="F82" s="9">
        <v>60</v>
      </c>
      <c r="G82" t="s">
        <v>36</v>
      </c>
      <c r="H82" t="s">
        <v>37</v>
      </c>
      <c r="I82" t="s">
        <v>38</v>
      </c>
      <c r="J82" t="s">
        <v>123</v>
      </c>
      <c r="K82" t="s">
        <v>238</v>
      </c>
      <c r="L82" t="s">
        <v>239</v>
      </c>
      <c r="M82" s="15">
        <v>0.05</v>
      </c>
      <c r="N82" s="16">
        <f t="shared" si="1"/>
        <v>3</v>
      </c>
    </row>
    <row r="83" spans="1:14">
      <c r="A83" s="5">
        <v>46060</v>
      </c>
      <c r="B83" t="s">
        <v>40</v>
      </c>
      <c r="C83" t="s">
        <v>35</v>
      </c>
      <c r="D83" t="s">
        <v>242</v>
      </c>
      <c r="E83" t="s">
        <v>40</v>
      </c>
      <c r="F83" s="9">
        <v>60</v>
      </c>
      <c r="G83" t="s">
        <v>36</v>
      </c>
      <c r="H83" t="s">
        <v>37</v>
      </c>
      <c r="I83" t="s">
        <v>38</v>
      </c>
      <c r="J83" t="s">
        <v>124</v>
      </c>
      <c r="K83" t="s">
        <v>238</v>
      </c>
      <c r="L83" t="s">
        <v>239</v>
      </c>
      <c r="M83" s="15">
        <v>0.05</v>
      </c>
      <c r="N83" s="16">
        <f t="shared" si="1"/>
        <v>3</v>
      </c>
    </row>
    <row r="84" spans="1:14">
      <c r="A84" s="5">
        <v>46061</v>
      </c>
      <c r="B84" t="s">
        <v>40</v>
      </c>
      <c r="C84" t="s">
        <v>35</v>
      </c>
      <c r="D84" t="s">
        <v>242</v>
      </c>
      <c r="E84" t="s">
        <v>40</v>
      </c>
      <c r="F84" s="9">
        <v>60</v>
      </c>
      <c r="G84" t="s">
        <v>36</v>
      </c>
      <c r="H84" t="s">
        <v>37</v>
      </c>
      <c r="I84" t="s">
        <v>38</v>
      </c>
      <c r="J84" t="s">
        <v>125</v>
      </c>
      <c r="K84" t="s">
        <v>238</v>
      </c>
      <c r="L84" t="s">
        <v>239</v>
      </c>
      <c r="M84" s="15">
        <v>0.05</v>
      </c>
      <c r="N84" s="16">
        <f t="shared" si="1"/>
        <v>3</v>
      </c>
    </row>
    <row r="85" spans="1:14">
      <c r="A85" s="5">
        <v>46062</v>
      </c>
      <c r="B85" t="s">
        <v>40</v>
      </c>
      <c r="C85" t="s">
        <v>35</v>
      </c>
      <c r="D85" t="s">
        <v>242</v>
      </c>
      <c r="E85" t="s">
        <v>40</v>
      </c>
      <c r="F85" s="9">
        <v>30</v>
      </c>
      <c r="G85" t="s">
        <v>36</v>
      </c>
      <c r="H85" t="s">
        <v>37</v>
      </c>
      <c r="I85" t="s">
        <v>38</v>
      </c>
      <c r="J85" t="s">
        <v>126</v>
      </c>
      <c r="K85" t="s">
        <v>238</v>
      </c>
      <c r="L85" t="s">
        <v>239</v>
      </c>
      <c r="M85" s="15">
        <v>0.05</v>
      </c>
      <c r="N85" s="16">
        <f t="shared" si="1"/>
        <v>1.5</v>
      </c>
    </row>
    <row r="86" spans="1:14">
      <c r="A86" s="5">
        <v>46063</v>
      </c>
      <c r="B86" t="s">
        <v>40</v>
      </c>
      <c r="C86" t="s">
        <v>35</v>
      </c>
      <c r="D86" t="s">
        <v>242</v>
      </c>
      <c r="E86" t="s">
        <v>40</v>
      </c>
      <c r="F86" s="9">
        <v>30</v>
      </c>
      <c r="G86" t="s">
        <v>36</v>
      </c>
      <c r="H86" t="s">
        <v>37</v>
      </c>
      <c r="I86" t="s">
        <v>38</v>
      </c>
      <c r="J86" t="s">
        <v>127</v>
      </c>
      <c r="K86" t="s">
        <v>238</v>
      </c>
      <c r="L86" t="s">
        <v>239</v>
      </c>
      <c r="M86" s="15">
        <v>0.05</v>
      </c>
      <c r="N86" s="16">
        <f t="shared" si="1"/>
        <v>1.5</v>
      </c>
    </row>
    <row r="87" spans="1:14">
      <c r="A87" s="5">
        <v>46064</v>
      </c>
      <c r="B87" t="s">
        <v>40</v>
      </c>
      <c r="C87" t="s">
        <v>35</v>
      </c>
      <c r="D87" t="s">
        <v>242</v>
      </c>
      <c r="E87" t="s">
        <v>40</v>
      </c>
      <c r="F87" s="9">
        <v>30</v>
      </c>
      <c r="G87" t="s">
        <v>36</v>
      </c>
      <c r="H87" t="s">
        <v>37</v>
      </c>
      <c r="I87" t="s">
        <v>38</v>
      </c>
      <c r="J87" t="s">
        <v>128</v>
      </c>
      <c r="K87" t="s">
        <v>238</v>
      </c>
      <c r="L87" t="s">
        <v>239</v>
      </c>
      <c r="M87" s="15">
        <v>0.05</v>
      </c>
      <c r="N87" s="16">
        <f t="shared" si="1"/>
        <v>1.5</v>
      </c>
    </row>
    <row r="88" spans="1:14">
      <c r="A88" s="5">
        <v>46065</v>
      </c>
      <c r="B88" t="s">
        <v>40</v>
      </c>
      <c r="C88" t="s">
        <v>35</v>
      </c>
      <c r="D88" t="s">
        <v>242</v>
      </c>
      <c r="E88" t="s">
        <v>40</v>
      </c>
      <c r="F88" s="9">
        <v>30</v>
      </c>
      <c r="G88" t="s">
        <v>36</v>
      </c>
      <c r="H88" t="s">
        <v>37</v>
      </c>
      <c r="I88" t="s">
        <v>38</v>
      </c>
      <c r="J88" t="s">
        <v>129</v>
      </c>
      <c r="K88" t="s">
        <v>238</v>
      </c>
      <c r="L88" t="s">
        <v>239</v>
      </c>
      <c r="M88" s="15">
        <v>0.05</v>
      </c>
      <c r="N88" s="16">
        <f t="shared" si="1"/>
        <v>1.5</v>
      </c>
    </row>
    <row r="89" spans="1:14">
      <c r="A89" s="5">
        <v>46066</v>
      </c>
      <c r="B89" t="s">
        <v>40</v>
      </c>
      <c r="C89" t="s">
        <v>35</v>
      </c>
      <c r="D89" t="s">
        <v>242</v>
      </c>
      <c r="E89" t="s">
        <v>40</v>
      </c>
      <c r="F89" s="9">
        <v>30</v>
      </c>
      <c r="G89" t="s">
        <v>36</v>
      </c>
      <c r="H89" t="s">
        <v>37</v>
      </c>
      <c r="I89" t="s">
        <v>38</v>
      </c>
      <c r="J89" t="s">
        <v>130</v>
      </c>
      <c r="K89" t="s">
        <v>238</v>
      </c>
      <c r="L89" t="s">
        <v>241</v>
      </c>
      <c r="M89" s="15">
        <v>0.05</v>
      </c>
      <c r="N89" s="16">
        <f t="shared" si="1"/>
        <v>1.5</v>
      </c>
    </row>
    <row r="90" spans="1:14">
      <c r="A90" s="5">
        <v>46067</v>
      </c>
      <c r="B90" t="s">
        <v>40</v>
      </c>
      <c r="C90" t="s">
        <v>35</v>
      </c>
      <c r="D90" t="s">
        <v>242</v>
      </c>
      <c r="E90" t="s">
        <v>40</v>
      </c>
      <c r="F90" s="9">
        <v>30</v>
      </c>
      <c r="G90" t="s">
        <v>36</v>
      </c>
      <c r="H90" t="s">
        <v>37</v>
      </c>
      <c r="I90" t="s">
        <v>38</v>
      </c>
      <c r="J90" t="s">
        <v>131</v>
      </c>
      <c r="K90" t="s">
        <v>238</v>
      </c>
      <c r="L90" t="s">
        <v>241</v>
      </c>
      <c r="M90" s="15">
        <v>0.05</v>
      </c>
      <c r="N90" s="16">
        <f t="shared" si="1"/>
        <v>1.5</v>
      </c>
    </row>
    <row r="91" spans="1:14">
      <c r="A91" s="5">
        <v>46068</v>
      </c>
      <c r="B91" t="s">
        <v>40</v>
      </c>
      <c r="C91" t="s">
        <v>35</v>
      </c>
      <c r="D91" t="s">
        <v>242</v>
      </c>
      <c r="E91" t="s">
        <v>40</v>
      </c>
      <c r="F91" s="9">
        <v>30</v>
      </c>
      <c r="G91" t="s">
        <v>36</v>
      </c>
      <c r="H91" t="s">
        <v>37</v>
      </c>
      <c r="I91" t="s">
        <v>38</v>
      </c>
      <c r="J91" t="s">
        <v>132</v>
      </c>
      <c r="K91" t="s">
        <v>238</v>
      </c>
      <c r="L91" t="s">
        <v>241</v>
      </c>
      <c r="M91" s="15">
        <v>0.05</v>
      </c>
      <c r="N91" s="16">
        <f t="shared" si="1"/>
        <v>1.5</v>
      </c>
    </row>
    <row r="92" spans="1:14">
      <c r="A92" s="5">
        <v>46069</v>
      </c>
      <c r="B92" t="s">
        <v>51</v>
      </c>
      <c r="C92" t="s">
        <v>30</v>
      </c>
      <c r="D92" t="s">
        <v>52</v>
      </c>
      <c r="E92" t="s">
        <v>53</v>
      </c>
      <c r="F92" s="9">
        <v>-100</v>
      </c>
      <c r="G92" t="s">
        <v>54</v>
      </c>
      <c r="H92" t="s">
        <v>37</v>
      </c>
      <c r="I92" t="s">
        <v>38</v>
      </c>
      <c r="J92" t="s">
        <v>133</v>
      </c>
      <c r="K92" t="s">
        <v>238</v>
      </c>
      <c r="L92" t="s">
        <v>241</v>
      </c>
      <c r="M92" s="15">
        <v>0</v>
      </c>
      <c r="N92" s="16">
        <f t="shared" si="1"/>
        <v>0</v>
      </c>
    </row>
    <row r="93" spans="1:14">
      <c r="A93" s="5">
        <v>46070</v>
      </c>
      <c r="B93" t="s">
        <v>40</v>
      </c>
      <c r="C93" t="s">
        <v>35</v>
      </c>
      <c r="D93" t="s">
        <v>242</v>
      </c>
      <c r="E93" t="s">
        <v>40</v>
      </c>
      <c r="F93" s="9">
        <v>30</v>
      </c>
      <c r="G93" t="s">
        <v>36</v>
      </c>
      <c r="H93" t="s">
        <v>37</v>
      </c>
      <c r="I93" t="s">
        <v>38</v>
      </c>
      <c r="J93" t="s">
        <v>134</v>
      </c>
      <c r="K93" t="s">
        <v>238</v>
      </c>
      <c r="L93" t="s">
        <v>241</v>
      </c>
      <c r="M93" s="15">
        <v>0.05</v>
      </c>
      <c r="N93" s="16">
        <f t="shared" si="1"/>
        <v>1.5</v>
      </c>
    </row>
    <row r="94" spans="1:14">
      <c r="A94" s="5">
        <v>46071</v>
      </c>
      <c r="B94" t="s">
        <v>40</v>
      </c>
      <c r="C94" t="s">
        <v>35</v>
      </c>
      <c r="D94" t="s">
        <v>242</v>
      </c>
      <c r="E94" t="s">
        <v>40</v>
      </c>
      <c r="F94" s="9">
        <v>30</v>
      </c>
      <c r="G94" t="s">
        <v>36</v>
      </c>
      <c r="H94" t="s">
        <v>37</v>
      </c>
      <c r="I94" t="s">
        <v>38</v>
      </c>
      <c r="J94" t="s">
        <v>135</v>
      </c>
      <c r="K94" t="s">
        <v>238</v>
      </c>
      <c r="L94" t="s">
        <v>241</v>
      </c>
      <c r="M94" s="15">
        <v>0.05</v>
      </c>
      <c r="N94" s="16">
        <f t="shared" si="1"/>
        <v>1.5</v>
      </c>
    </row>
    <row r="95" spans="1:14">
      <c r="A95" s="5">
        <v>46072</v>
      </c>
      <c r="B95" t="s">
        <v>40</v>
      </c>
      <c r="C95" t="s">
        <v>35</v>
      </c>
      <c r="D95" t="s">
        <v>242</v>
      </c>
      <c r="E95" t="s">
        <v>40</v>
      </c>
      <c r="F95" s="9">
        <v>30</v>
      </c>
      <c r="G95" t="s">
        <v>36</v>
      </c>
      <c r="H95" t="s">
        <v>37</v>
      </c>
      <c r="I95" t="s">
        <v>38</v>
      </c>
      <c r="J95" t="s">
        <v>136</v>
      </c>
      <c r="K95" t="s">
        <v>238</v>
      </c>
      <c r="L95" t="s">
        <v>241</v>
      </c>
      <c r="M95" s="15">
        <v>0.05</v>
      </c>
      <c r="N95" s="16">
        <f t="shared" si="1"/>
        <v>1.5</v>
      </c>
    </row>
    <row r="96" spans="1:14">
      <c r="A96" s="5">
        <v>46073</v>
      </c>
      <c r="B96" t="s">
        <v>40</v>
      </c>
      <c r="C96" t="s">
        <v>35</v>
      </c>
      <c r="D96" t="s">
        <v>242</v>
      </c>
      <c r="E96" t="s">
        <v>40</v>
      </c>
      <c r="F96" s="9">
        <v>30</v>
      </c>
      <c r="G96" t="s">
        <v>36</v>
      </c>
      <c r="H96" t="s">
        <v>37</v>
      </c>
      <c r="I96" t="s">
        <v>38</v>
      </c>
      <c r="J96" t="s">
        <v>137</v>
      </c>
      <c r="K96" t="s">
        <v>238</v>
      </c>
      <c r="L96" t="s">
        <v>240</v>
      </c>
      <c r="M96" s="15">
        <v>0.05</v>
      </c>
      <c r="N96" s="16">
        <f t="shared" si="1"/>
        <v>1.5</v>
      </c>
    </row>
    <row r="97" spans="1:14">
      <c r="A97" s="5">
        <v>46074</v>
      </c>
      <c r="B97" t="s">
        <v>40</v>
      </c>
      <c r="C97" t="s">
        <v>35</v>
      </c>
      <c r="D97" t="s">
        <v>242</v>
      </c>
      <c r="E97" t="s">
        <v>40</v>
      </c>
      <c r="F97" s="9">
        <v>30</v>
      </c>
      <c r="G97" t="s">
        <v>36</v>
      </c>
      <c r="H97" t="s">
        <v>37</v>
      </c>
      <c r="I97" t="s">
        <v>38</v>
      </c>
      <c r="J97" t="s">
        <v>138</v>
      </c>
      <c r="K97" t="s">
        <v>238</v>
      </c>
      <c r="L97" t="s">
        <v>240</v>
      </c>
      <c r="M97" s="15">
        <v>0.05</v>
      </c>
      <c r="N97" s="16">
        <f t="shared" si="1"/>
        <v>1.5</v>
      </c>
    </row>
    <row r="98" spans="1:14">
      <c r="A98" s="5">
        <v>46075</v>
      </c>
      <c r="B98" t="s">
        <v>40</v>
      </c>
      <c r="C98" t="s">
        <v>35</v>
      </c>
      <c r="D98" t="s">
        <v>242</v>
      </c>
      <c r="E98" t="s">
        <v>40</v>
      </c>
      <c r="F98" s="9">
        <v>30</v>
      </c>
      <c r="G98" t="s">
        <v>36</v>
      </c>
      <c r="H98" t="s">
        <v>37</v>
      </c>
      <c r="I98" t="s">
        <v>38</v>
      </c>
      <c r="J98" t="s">
        <v>139</v>
      </c>
      <c r="K98" t="s">
        <v>238</v>
      </c>
      <c r="L98" t="s">
        <v>240</v>
      </c>
      <c r="M98" s="15">
        <v>0.05</v>
      </c>
      <c r="N98" s="16">
        <f t="shared" si="1"/>
        <v>1.5</v>
      </c>
    </row>
    <row r="99" spans="1:14">
      <c r="A99" s="5">
        <v>46076</v>
      </c>
      <c r="B99" t="s">
        <v>40</v>
      </c>
      <c r="C99" t="s">
        <v>35</v>
      </c>
      <c r="D99" t="s">
        <v>242</v>
      </c>
      <c r="E99" t="s">
        <v>40</v>
      </c>
      <c r="F99" s="9">
        <v>30</v>
      </c>
      <c r="G99" t="s">
        <v>36</v>
      </c>
      <c r="H99" t="s">
        <v>37</v>
      </c>
      <c r="I99" t="s">
        <v>38</v>
      </c>
      <c r="J99" t="s">
        <v>140</v>
      </c>
      <c r="K99" t="s">
        <v>238</v>
      </c>
      <c r="L99" t="s">
        <v>240</v>
      </c>
      <c r="M99" s="15">
        <v>0.05</v>
      </c>
      <c r="N99" s="16">
        <f t="shared" si="1"/>
        <v>1.5</v>
      </c>
    </row>
    <row r="100" spans="1:14">
      <c r="A100" s="5">
        <v>46077</v>
      </c>
      <c r="B100" t="s">
        <v>40</v>
      </c>
      <c r="C100" t="s">
        <v>35</v>
      </c>
      <c r="D100" t="s">
        <v>242</v>
      </c>
      <c r="E100" t="s">
        <v>40</v>
      </c>
      <c r="F100" s="9">
        <v>30</v>
      </c>
      <c r="G100" t="s">
        <v>36</v>
      </c>
      <c r="H100" t="s">
        <v>37</v>
      </c>
      <c r="I100" t="s">
        <v>38</v>
      </c>
      <c r="J100" t="s">
        <v>141</v>
      </c>
      <c r="K100" t="s">
        <v>238</v>
      </c>
      <c r="L100" t="s">
        <v>240</v>
      </c>
      <c r="M100" s="15">
        <v>0.05</v>
      </c>
      <c r="N100" s="16">
        <f t="shared" si="1"/>
        <v>1.5</v>
      </c>
    </row>
    <row r="101" spans="1:14">
      <c r="A101" s="5">
        <v>46078</v>
      </c>
      <c r="B101" t="s">
        <v>40</v>
      </c>
      <c r="C101" t="s">
        <v>35</v>
      </c>
      <c r="D101" t="s">
        <v>242</v>
      </c>
      <c r="E101" t="s">
        <v>40</v>
      </c>
      <c r="F101" s="9">
        <v>30</v>
      </c>
      <c r="G101" t="s">
        <v>36</v>
      </c>
      <c r="H101" t="s">
        <v>37</v>
      </c>
      <c r="I101" t="s">
        <v>38</v>
      </c>
      <c r="J101" t="s">
        <v>142</v>
      </c>
      <c r="K101" t="s">
        <v>238</v>
      </c>
      <c r="L101" t="s">
        <v>240</v>
      </c>
      <c r="M101" s="15">
        <v>0.05</v>
      </c>
      <c r="N101" s="16">
        <f t="shared" si="1"/>
        <v>1.5</v>
      </c>
    </row>
    <row r="102" spans="1:14">
      <c r="A102" s="5">
        <v>46079</v>
      </c>
      <c r="B102" t="s">
        <v>40</v>
      </c>
      <c r="C102" t="s">
        <v>35</v>
      </c>
      <c r="D102" t="s">
        <v>242</v>
      </c>
      <c r="E102" t="s">
        <v>40</v>
      </c>
      <c r="F102" s="9">
        <v>30</v>
      </c>
      <c r="G102" t="s">
        <v>36</v>
      </c>
      <c r="H102" t="s">
        <v>37</v>
      </c>
      <c r="I102" t="s">
        <v>38</v>
      </c>
      <c r="J102" t="s">
        <v>143</v>
      </c>
      <c r="K102" t="s">
        <v>238</v>
      </c>
      <c r="L102" t="s">
        <v>240</v>
      </c>
      <c r="M102" s="15">
        <v>0.05</v>
      </c>
      <c r="N102" s="16">
        <f t="shared" si="1"/>
        <v>1.5</v>
      </c>
    </row>
    <row r="103" spans="1:14">
      <c r="A103" s="5">
        <v>46080</v>
      </c>
      <c r="B103" t="s">
        <v>40</v>
      </c>
      <c r="C103" t="s">
        <v>35</v>
      </c>
      <c r="D103" t="s">
        <v>242</v>
      </c>
      <c r="E103" t="s">
        <v>40</v>
      </c>
      <c r="F103" s="9">
        <v>30</v>
      </c>
      <c r="G103" t="s">
        <v>36</v>
      </c>
      <c r="H103" t="s">
        <v>37</v>
      </c>
      <c r="I103" t="s">
        <v>38</v>
      </c>
      <c r="J103" t="s">
        <v>144</v>
      </c>
      <c r="K103" t="s">
        <v>238</v>
      </c>
      <c r="L103" t="s">
        <v>240</v>
      </c>
      <c r="M103" s="15">
        <v>0.05</v>
      </c>
      <c r="N103" s="16">
        <f t="shared" si="1"/>
        <v>1.5</v>
      </c>
    </row>
    <row r="104" spans="1:14">
      <c r="A104" s="5">
        <v>46081</v>
      </c>
      <c r="B104" t="s">
        <v>40</v>
      </c>
      <c r="C104" t="s">
        <v>35</v>
      </c>
      <c r="D104" t="s">
        <v>242</v>
      </c>
      <c r="E104" t="s">
        <v>40</v>
      </c>
      <c r="F104" s="9">
        <v>30</v>
      </c>
      <c r="G104" t="s">
        <v>36</v>
      </c>
      <c r="H104" t="s">
        <v>37</v>
      </c>
      <c r="I104" t="s">
        <v>38</v>
      </c>
      <c r="J104" t="s">
        <v>145</v>
      </c>
      <c r="K104" t="s">
        <v>238</v>
      </c>
      <c r="L104" t="s">
        <v>240</v>
      </c>
      <c r="M104" s="15">
        <v>0.05</v>
      </c>
      <c r="N104" s="16">
        <f t="shared" si="1"/>
        <v>1.5</v>
      </c>
    </row>
    <row r="105" spans="1:14">
      <c r="A105" s="5">
        <v>46082</v>
      </c>
      <c r="B105" t="s">
        <v>40</v>
      </c>
      <c r="C105" t="s">
        <v>35</v>
      </c>
      <c r="D105" t="s">
        <v>242</v>
      </c>
      <c r="E105" t="s">
        <v>40</v>
      </c>
      <c r="F105" s="9">
        <v>30</v>
      </c>
      <c r="G105" t="s">
        <v>36</v>
      </c>
      <c r="H105" t="s">
        <v>37</v>
      </c>
      <c r="I105" t="s">
        <v>38</v>
      </c>
      <c r="J105" t="s">
        <v>146</v>
      </c>
      <c r="K105" t="s">
        <v>238</v>
      </c>
      <c r="L105" t="s">
        <v>241</v>
      </c>
      <c r="M105" s="15">
        <v>0.05</v>
      </c>
      <c r="N105" s="16">
        <f t="shared" si="1"/>
        <v>1.5</v>
      </c>
    </row>
    <row r="106" spans="1:14">
      <c r="A106" s="5">
        <v>46083</v>
      </c>
      <c r="B106" t="s">
        <v>40</v>
      </c>
      <c r="C106" t="s">
        <v>35</v>
      </c>
      <c r="D106" t="s">
        <v>242</v>
      </c>
      <c r="E106" t="s">
        <v>40</v>
      </c>
      <c r="F106" s="9">
        <v>30</v>
      </c>
      <c r="G106" t="s">
        <v>36</v>
      </c>
      <c r="H106" t="s">
        <v>37</v>
      </c>
      <c r="I106" t="s">
        <v>38</v>
      </c>
      <c r="J106" t="s">
        <v>147</v>
      </c>
      <c r="K106" t="s">
        <v>238</v>
      </c>
      <c r="L106" t="s">
        <v>241</v>
      </c>
      <c r="M106" s="15">
        <v>0.05</v>
      </c>
      <c r="N106" s="16">
        <f t="shared" si="1"/>
        <v>1.5</v>
      </c>
    </row>
    <row r="107" spans="1:14">
      <c r="A107" s="5">
        <v>46084</v>
      </c>
      <c r="B107" t="s">
        <v>40</v>
      </c>
      <c r="C107" t="s">
        <v>35</v>
      </c>
      <c r="D107" t="s">
        <v>242</v>
      </c>
      <c r="E107" t="s">
        <v>40</v>
      </c>
      <c r="F107" s="9">
        <v>30</v>
      </c>
      <c r="G107" t="s">
        <v>36</v>
      </c>
      <c r="H107" t="s">
        <v>37</v>
      </c>
      <c r="I107" t="s">
        <v>38</v>
      </c>
      <c r="J107" t="s">
        <v>148</v>
      </c>
      <c r="K107" t="s">
        <v>238</v>
      </c>
      <c r="L107" t="s">
        <v>241</v>
      </c>
      <c r="M107" s="15">
        <v>0.05</v>
      </c>
      <c r="N107" s="16">
        <f t="shared" si="1"/>
        <v>1.5</v>
      </c>
    </row>
    <row r="108" spans="1:14">
      <c r="A108" s="5">
        <v>46085</v>
      </c>
      <c r="B108" t="s">
        <v>40</v>
      </c>
      <c r="C108" t="s">
        <v>35</v>
      </c>
      <c r="D108" t="s">
        <v>242</v>
      </c>
      <c r="E108" t="s">
        <v>40</v>
      </c>
      <c r="F108" s="9">
        <v>30</v>
      </c>
      <c r="G108" t="s">
        <v>36</v>
      </c>
      <c r="H108" t="s">
        <v>37</v>
      </c>
      <c r="I108" t="s">
        <v>38</v>
      </c>
      <c r="J108" t="s">
        <v>149</v>
      </c>
      <c r="K108" t="s">
        <v>238</v>
      </c>
      <c r="L108" t="s">
        <v>241</v>
      </c>
      <c r="M108" s="15">
        <v>0.05</v>
      </c>
      <c r="N108" s="16">
        <f t="shared" si="1"/>
        <v>1.5</v>
      </c>
    </row>
    <row r="109" spans="1:14">
      <c r="A109" s="5">
        <v>46086</v>
      </c>
      <c r="B109" t="s">
        <v>40</v>
      </c>
      <c r="C109" t="s">
        <v>35</v>
      </c>
      <c r="D109" t="s">
        <v>242</v>
      </c>
      <c r="E109" t="s">
        <v>40</v>
      </c>
      <c r="F109" s="9">
        <v>30</v>
      </c>
      <c r="G109" t="s">
        <v>36</v>
      </c>
      <c r="H109" t="s">
        <v>37</v>
      </c>
      <c r="I109" t="s">
        <v>38</v>
      </c>
      <c r="J109" t="s">
        <v>150</v>
      </c>
      <c r="K109" t="s">
        <v>238</v>
      </c>
      <c r="L109" t="s">
        <v>241</v>
      </c>
      <c r="M109" s="15">
        <v>0.05</v>
      </c>
      <c r="N109" s="16">
        <f t="shared" si="1"/>
        <v>1.5</v>
      </c>
    </row>
    <row r="110" spans="1:14">
      <c r="A110" s="5">
        <v>46087</v>
      </c>
      <c r="B110" t="s">
        <v>40</v>
      </c>
      <c r="C110" t="s">
        <v>35</v>
      </c>
      <c r="D110" t="s">
        <v>242</v>
      </c>
      <c r="E110" t="s">
        <v>40</v>
      </c>
      <c r="F110" s="9">
        <v>30</v>
      </c>
      <c r="G110" t="s">
        <v>36</v>
      </c>
      <c r="H110" t="s">
        <v>37</v>
      </c>
      <c r="I110" t="s">
        <v>38</v>
      </c>
      <c r="J110" t="s">
        <v>151</v>
      </c>
      <c r="K110" t="s">
        <v>238</v>
      </c>
      <c r="L110" t="s">
        <v>241</v>
      </c>
      <c r="M110" s="15">
        <v>0.05</v>
      </c>
      <c r="N110" s="16">
        <f t="shared" si="1"/>
        <v>1.5</v>
      </c>
    </row>
    <row r="111" spans="1:14">
      <c r="A111" s="5">
        <v>46088</v>
      </c>
      <c r="B111" t="s">
        <v>40</v>
      </c>
      <c r="C111" t="s">
        <v>35</v>
      </c>
      <c r="D111" t="s">
        <v>242</v>
      </c>
      <c r="E111" t="s">
        <v>40</v>
      </c>
      <c r="F111" s="9">
        <v>30</v>
      </c>
      <c r="G111" t="s">
        <v>36</v>
      </c>
      <c r="H111" t="s">
        <v>37</v>
      </c>
      <c r="I111" t="s">
        <v>38</v>
      </c>
      <c r="J111" t="s">
        <v>152</v>
      </c>
      <c r="K111" t="s">
        <v>238</v>
      </c>
      <c r="L111" t="s">
        <v>241</v>
      </c>
      <c r="M111" s="15">
        <v>0.05</v>
      </c>
      <c r="N111" s="16">
        <f t="shared" si="1"/>
        <v>1.5</v>
      </c>
    </row>
    <row r="112" spans="1:14">
      <c r="A112" s="5">
        <v>46089</v>
      </c>
      <c r="B112" t="s">
        <v>40</v>
      </c>
      <c r="C112" t="s">
        <v>35</v>
      </c>
      <c r="D112" t="s">
        <v>242</v>
      </c>
      <c r="E112" t="s">
        <v>40</v>
      </c>
      <c r="F112" s="9">
        <v>30</v>
      </c>
      <c r="G112" t="s">
        <v>36</v>
      </c>
      <c r="H112" t="s">
        <v>37</v>
      </c>
      <c r="I112" t="s">
        <v>38</v>
      </c>
      <c r="J112" t="s">
        <v>153</v>
      </c>
      <c r="K112" t="s">
        <v>238</v>
      </c>
      <c r="L112" t="s">
        <v>241</v>
      </c>
      <c r="M112" s="15">
        <v>0.05</v>
      </c>
      <c r="N112" s="16">
        <f t="shared" si="1"/>
        <v>1.5</v>
      </c>
    </row>
    <row r="113" spans="1:14">
      <c r="A113" s="5">
        <v>46090</v>
      </c>
      <c r="B113" t="s">
        <v>40</v>
      </c>
      <c r="C113" t="s">
        <v>35</v>
      </c>
      <c r="D113" t="s">
        <v>242</v>
      </c>
      <c r="E113" t="s">
        <v>40</v>
      </c>
      <c r="F113" s="9">
        <v>30</v>
      </c>
      <c r="G113" t="s">
        <v>36</v>
      </c>
      <c r="H113" t="s">
        <v>37</v>
      </c>
      <c r="I113" t="s">
        <v>38</v>
      </c>
      <c r="J113" t="s">
        <v>154</v>
      </c>
      <c r="K113" t="s">
        <v>238</v>
      </c>
      <c r="L113" t="s">
        <v>241</v>
      </c>
      <c r="M113" s="15">
        <v>0.05</v>
      </c>
      <c r="N113" s="16">
        <f t="shared" si="1"/>
        <v>1.5</v>
      </c>
    </row>
    <row r="114" spans="1:14">
      <c r="A114" s="5">
        <v>46091</v>
      </c>
      <c r="B114" t="s">
        <v>40</v>
      </c>
      <c r="C114" t="s">
        <v>35</v>
      </c>
      <c r="D114" t="s">
        <v>242</v>
      </c>
      <c r="E114" t="s">
        <v>40</v>
      </c>
      <c r="F114" s="9">
        <v>30</v>
      </c>
      <c r="G114" t="s">
        <v>36</v>
      </c>
      <c r="H114" t="s">
        <v>37</v>
      </c>
      <c r="I114" t="s">
        <v>38</v>
      </c>
      <c r="J114" t="s">
        <v>155</v>
      </c>
      <c r="K114" t="s">
        <v>238</v>
      </c>
      <c r="L114" t="s">
        <v>241</v>
      </c>
      <c r="M114" s="15">
        <v>0.05</v>
      </c>
      <c r="N114" s="16">
        <f t="shared" si="1"/>
        <v>1.5</v>
      </c>
    </row>
    <row r="115" spans="1:14">
      <c r="A115" s="5">
        <v>46092</v>
      </c>
      <c r="B115" t="s">
        <v>40</v>
      </c>
      <c r="C115" t="s">
        <v>35</v>
      </c>
      <c r="D115" t="s">
        <v>242</v>
      </c>
      <c r="E115" t="s">
        <v>40</v>
      </c>
      <c r="F115" s="9">
        <v>30</v>
      </c>
      <c r="G115" t="s">
        <v>36</v>
      </c>
      <c r="H115" t="s">
        <v>37</v>
      </c>
      <c r="I115" t="s">
        <v>38</v>
      </c>
      <c r="J115" t="s">
        <v>156</v>
      </c>
      <c r="K115" t="s">
        <v>238</v>
      </c>
      <c r="L115" t="s">
        <v>241</v>
      </c>
      <c r="M115" s="15">
        <v>0.05</v>
      </c>
      <c r="N115" s="16">
        <f t="shared" si="1"/>
        <v>1.5</v>
      </c>
    </row>
    <row r="116" spans="1:14">
      <c r="A116" s="5">
        <v>46093</v>
      </c>
      <c r="B116" t="s">
        <v>40</v>
      </c>
      <c r="C116" t="s">
        <v>35</v>
      </c>
      <c r="D116" t="s">
        <v>242</v>
      </c>
      <c r="E116" t="s">
        <v>40</v>
      </c>
      <c r="F116" s="9">
        <v>30</v>
      </c>
      <c r="G116" t="s">
        <v>36</v>
      </c>
      <c r="H116" t="s">
        <v>37</v>
      </c>
      <c r="I116" t="s">
        <v>38</v>
      </c>
      <c r="J116" t="s">
        <v>157</v>
      </c>
      <c r="K116" t="s">
        <v>238</v>
      </c>
      <c r="L116" t="s">
        <v>241</v>
      </c>
      <c r="M116" s="15">
        <v>0.05</v>
      </c>
      <c r="N116" s="16">
        <f t="shared" si="1"/>
        <v>1.5</v>
      </c>
    </row>
    <row r="117" spans="1:14">
      <c r="A117" s="5">
        <v>46094</v>
      </c>
      <c r="B117" t="s">
        <v>40</v>
      </c>
      <c r="C117" t="s">
        <v>35</v>
      </c>
      <c r="D117" t="s">
        <v>242</v>
      </c>
      <c r="E117" t="s">
        <v>40</v>
      </c>
      <c r="F117" s="9">
        <v>30</v>
      </c>
      <c r="G117" t="s">
        <v>36</v>
      </c>
      <c r="H117" t="s">
        <v>37</v>
      </c>
      <c r="I117" t="s">
        <v>38</v>
      </c>
      <c r="J117" t="s">
        <v>158</v>
      </c>
      <c r="K117" t="s">
        <v>238</v>
      </c>
      <c r="L117" t="s">
        <v>240</v>
      </c>
      <c r="M117" s="15">
        <v>0.05</v>
      </c>
      <c r="N117" s="16">
        <f t="shared" si="1"/>
        <v>1.5</v>
      </c>
    </row>
    <row r="118" spans="1:14">
      <c r="A118" s="5">
        <v>46095</v>
      </c>
      <c r="B118" t="s">
        <v>40</v>
      </c>
      <c r="C118" t="s">
        <v>35</v>
      </c>
      <c r="D118" t="s">
        <v>242</v>
      </c>
      <c r="E118" t="s">
        <v>40</v>
      </c>
      <c r="F118" s="9">
        <v>30</v>
      </c>
      <c r="G118" t="s">
        <v>36</v>
      </c>
      <c r="H118" t="s">
        <v>37</v>
      </c>
      <c r="I118" t="s">
        <v>38</v>
      </c>
      <c r="J118" t="s">
        <v>159</v>
      </c>
      <c r="K118" t="s">
        <v>238</v>
      </c>
      <c r="L118" t="s">
        <v>240</v>
      </c>
      <c r="M118" s="15">
        <v>0.05</v>
      </c>
      <c r="N118" s="16">
        <f t="shared" si="1"/>
        <v>1.5</v>
      </c>
    </row>
    <row r="119" spans="1:14">
      <c r="A119" s="5">
        <v>46096</v>
      </c>
      <c r="B119" t="s">
        <v>40</v>
      </c>
      <c r="C119" t="s">
        <v>35</v>
      </c>
      <c r="D119" t="s">
        <v>242</v>
      </c>
      <c r="E119" t="s">
        <v>40</v>
      </c>
      <c r="F119" s="9">
        <v>30</v>
      </c>
      <c r="G119" t="s">
        <v>36</v>
      </c>
      <c r="H119" t="s">
        <v>37</v>
      </c>
      <c r="I119" t="s">
        <v>38</v>
      </c>
      <c r="J119" t="s">
        <v>160</v>
      </c>
      <c r="K119" t="s">
        <v>238</v>
      </c>
      <c r="L119" t="s">
        <v>240</v>
      </c>
      <c r="M119" s="15">
        <v>0.05</v>
      </c>
      <c r="N119" s="16">
        <f t="shared" si="1"/>
        <v>1.5</v>
      </c>
    </row>
    <row r="120" spans="1:14">
      <c r="A120" s="5">
        <v>46097</v>
      </c>
      <c r="B120" t="s">
        <v>40</v>
      </c>
      <c r="C120" t="s">
        <v>35</v>
      </c>
      <c r="D120" t="s">
        <v>242</v>
      </c>
      <c r="E120" t="s">
        <v>40</v>
      </c>
      <c r="F120" s="9">
        <v>30</v>
      </c>
      <c r="G120" t="s">
        <v>36</v>
      </c>
      <c r="H120" t="s">
        <v>37</v>
      </c>
      <c r="I120" t="s">
        <v>38</v>
      </c>
      <c r="J120" t="s">
        <v>161</v>
      </c>
      <c r="K120" t="s">
        <v>238</v>
      </c>
      <c r="L120" t="s">
        <v>240</v>
      </c>
      <c r="M120" s="15">
        <v>0.05</v>
      </c>
      <c r="N120" s="16">
        <f t="shared" si="1"/>
        <v>1.5</v>
      </c>
    </row>
    <row r="121" spans="1:14">
      <c r="A121" s="5">
        <v>46098</v>
      </c>
      <c r="B121" t="s">
        <v>40</v>
      </c>
      <c r="C121" t="s">
        <v>35</v>
      </c>
      <c r="D121" t="s">
        <v>242</v>
      </c>
      <c r="E121" t="s">
        <v>40</v>
      </c>
      <c r="F121" s="9">
        <v>30</v>
      </c>
      <c r="G121" t="s">
        <v>36</v>
      </c>
      <c r="H121" t="s">
        <v>37</v>
      </c>
      <c r="I121" t="s">
        <v>38</v>
      </c>
      <c r="J121" t="s">
        <v>162</v>
      </c>
      <c r="K121" t="s">
        <v>238</v>
      </c>
      <c r="L121" t="s">
        <v>240</v>
      </c>
      <c r="M121" s="15">
        <v>0.05</v>
      </c>
      <c r="N121" s="16">
        <f t="shared" si="1"/>
        <v>1.5</v>
      </c>
    </row>
    <row r="122" spans="1:14">
      <c r="A122" s="5">
        <v>46099</v>
      </c>
      <c r="B122" t="s">
        <v>40</v>
      </c>
      <c r="C122" t="s">
        <v>35</v>
      </c>
      <c r="D122" t="s">
        <v>242</v>
      </c>
      <c r="E122" t="s">
        <v>40</v>
      </c>
      <c r="F122" s="9">
        <v>30</v>
      </c>
      <c r="G122" t="s">
        <v>36</v>
      </c>
      <c r="H122" t="s">
        <v>37</v>
      </c>
      <c r="I122" t="s">
        <v>38</v>
      </c>
      <c r="J122" t="s">
        <v>163</v>
      </c>
      <c r="K122" t="s">
        <v>238</v>
      </c>
      <c r="L122" t="s">
        <v>240</v>
      </c>
      <c r="M122" s="15">
        <v>0.05</v>
      </c>
      <c r="N122" s="16">
        <f t="shared" si="1"/>
        <v>1.5</v>
      </c>
    </row>
    <row r="123" spans="1:14">
      <c r="A123" s="5">
        <v>46100</v>
      </c>
      <c r="B123" t="s">
        <v>40</v>
      </c>
      <c r="C123" t="s">
        <v>35</v>
      </c>
      <c r="D123" t="s">
        <v>242</v>
      </c>
      <c r="E123" t="s">
        <v>40</v>
      </c>
      <c r="F123" s="9">
        <v>30</v>
      </c>
      <c r="G123" t="s">
        <v>36</v>
      </c>
      <c r="H123" t="s">
        <v>37</v>
      </c>
      <c r="I123" t="s">
        <v>38</v>
      </c>
      <c r="J123" t="s">
        <v>164</v>
      </c>
      <c r="K123" t="s">
        <v>238</v>
      </c>
      <c r="L123" t="s">
        <v>240</v>
      </c>
      <c r="M123" s="15">
        <v>0.05</v>
      </c>
      <c r="N123" s="16">
        <f t="shared" si="1"/>
        <v>1.5</v>
      </c>
    </row>
    <row r="124" spans="1:14">
      <c r="A124" s="5">
        <v>46101</v>
      </c>
      <c r="B124" t="s">
        <v>40</v>
      </c>
      <c r="C124" t="s">
        <v>35</v>
      </c>
      <c r="D124" t="s">
        <v>242</v>
      </c>
      <c r="E124" t="s">
        <v>40</v>
      </c>
      <c r="F124" s="9">
        <v>30</v>
      </c>
      <c r="G124" t="s">
        <v>36</v>
      </c>
      <c r="H124" t="s">
        <v>37</v>
      </c>
      <c r="I124" t="s">
        <v>38</v>
      </c>
      <c r="J124" t="s">
        <v>165</v>
      </c>
      <c r="K124" t="s">
        <v>238</v>
      </c>
      <c r="L124" t="s">
        <v>240</v>
      </c>
      <c r="M124" s="15">
        <v>0.05</v>
      </c>
      <c r="N124" s="16">
        <f t="shared" si="1"/>
        <v>1.5</v>
      </c>
    </row>
    <row r="125" spans="1:14">
      <c r="A125" s="5">
        <v>46102</v>
      </c>
      <c r="B125" t="s">
        <v>40</v>
      </c>
      <c r="C125" t="s">
        <v>35</v>
      </c>
      <c r="D125" t="s">
        <v>242</v>
      </c>
      <c r="E125" t="s">
        <v>40</v>
      </c>
      <c r="F125" s="9">
        <v>30</v>
      </c>
      <c r="G125" t="s">
        <v>36</v>
      </c>
      <c r="H125" t="s">
        <v>37</v>
      </c>
      <c r="I125" t="s">
        <v>38</v>
      </c>
      <c r="J125" t="s">
        <v>166</v>
      </c>
      <c r="K125" t="s">
        <v>238</v>
      </c>
      <c r="L125" t="s">
        <v>240</v>
      </c>
      <c r="M125" s="15">
        <v>0.05</v>
      </c>
      <c r="N125" s="16">
        <f t="shared" si="1"/>
        <v>1.5</v>
      </c>
    </row>
    <row r="126" spans="1:14">
      <c r="A126" s="5">
        <v>46103</v>
      </c>
      <c r="B126" t="s">
        <v>40</v>
      </c>
      <c r="C126" t="s">
        <v>35</v>
      </c>
      <c r="D126" t="s">
        <v>242</v>
      </c>
      <c r="E126" t="s">
        <v>40</v>
      </c>
      <c r="F126" s="9">
        <v>30</v>
      </c>
      <c r="G126" t="s">
        <v>36</v>
      </c>
      <c r="H126" t="s">
        <v>37</v>
      </c>
      <c r="I126" t="s">
        <v>38</v>
      </c>
      <c r="J126" t="s">
        <v>167</v>
      </c>
      <c r="K126" t="s">
        <v>238</v>
      </c>
      <c r="L126" t="s">
        <v>241</v>
      </c>
      <c r="M126" s="15">
        <v>0.05</v>
      </c>
      <c r="N126" s="16">
        <f t="shared" si="1"/>
        <v>1.5</v>
      </c>
    </row>
    <row r="127" spans="1:14">
      <c r="A127" s="5">
        <v>46104</v>
      </c>
      <c r="B127" t="s">
        <v>40</v>
      </c>
      <c r="C127" t="s">
        <v>35</v>
      </c>
      <c r="D127" t="s">
        <v>242</v>
      </c>
      <c r="E127" t="s">
        <v>40</v>
      </c>
      <c r="F127" s="9">
        <v>30</v>
      </c>
      <c r="G127" t="s">
        <v>36</v>
      </c>
      <c r="H127" t="s">
        <v>37</v>
      </c>
      <c r="I127" t="s">
        <v>38</v>
      </c>
      <c r="J127" t="s">
        <v>168</v>
      </c>
      <c r="K127" t="s">
        <v>238</v>
      </c>
      <c r="L127" t="s">
        <v>241</v>
      </c>
      <c r="M127" s="15">
        <v>0.05</v>
      </c>
      <c r="N127" s="16">
        <f t="shared" si="1"/>
        <v>1.5</v>
      </c>
    </row>
    <row r="128" spans="1:14">
      <c r="A128" s="5">
        <v>46105</v>
      </c>
      <c r="B128" t="s">
        <v>40</v>
      </c>
      <c r="C128" t="s">
        <v>35</v>
      </c>
      <c r="D128" t="s">
        <v>242</v>
      </c>
      <c r="E128" t="s">
        <v>40</v>
      </c>
      <c r="F128" s="9">
        <v>30</v>
      </c>
      <c r="G128" t="s">
        <v>36</v>
      </c>
      <c r="H128" t="s">
        <v>37</v>
      </c>
      <c r="I128" t="s">
        <v>38</v>
      </c>
      <c r="J128" t="s">
        <v>169</v>
      </c>
      <c r="K128" t="s">
        <v>238</v>
      </c>
      <c r="L128" t="s">
        <v>241</v>
      </c>
      <c r="M128" s="15">
        <v>0.05</v>
      </c>
      <c r="N128" s="16">
        <f t="shared" si="1"/>
        <v>1.5</v>
      </c>
    </row>
    <row r="129" spans="1:14">
      <c r="A129" s="5">
        <v>46106</v>
      </c>
      <c r="B129" t="s">
        <v>40</v>
      </c>
      <c r="C129" t="s">
        <v>35</v>
      </c>
      <c r="D129" t="s">
        <v>242</v>
      </c>
      <c r="E129" t="s">
        <v>40</v>
      </c>
      <c r="F129" s="9">
        <v>30</v>
      </c>
      <c r="G129" t="s">
        <v>36</v>
      </c>
      <c r="H129" t="s">
        <v>37</v>
      </c>
      <c r="I129" t="s">
        <v>38</v>
      </c>
      <c r="J129" t="s">
        <v>170</v>
      </c>
      <c r="K129" t="s">
        <v>238</v>
      </c>
      <c r="L129" t="s">
        <v>241</v>
      </c>
      <c r="M129" s="15">
        <v>0.05</v>
      </c>
      <c r="N129" s="16">
        <f t="shared" si="1"/>
        <v>1.5</v>
      </c>
    </row>
    <row r="130" spans="1:14">
      <c r="A130" s="5">
        <v>46107</v>
      </c>
      <c r="B130" t="s">
        <v>40</v>
      </c>
      <c r="C130" t="s">
        <v>35</v>
      </c>
      <c r="D130" t="s">
        <v>242</v>
      </c>
      <c r="E130" t="s">
        <v>40</v>
      </c>
      <c r="F130" s="9">
        <v>30</v>
      </c>
      <c r="G130" t="s">
        <v>36</v>
      </c>
      <c r="H130" t="s">
        <v>37</v>
      </c>
      <c r="I130" t="s">
        <v>38</v>
      </c>
      <c r="J130" t="s">
        <v>171</v>
      </c>
      <c r="K130" t="s">
        <v>238</v>
      </c>
      <c r="L130" t="s">
        <v>239</v>
      </c>
      <c r="M130" s="15">
        <v>0.05</v>
      </c>
      <c r="N130" s="16">
        <f t="shared" si="1"/>
        <v>1.5</v>
      </c>
    </row>
    <row r="131" spans="1:14">
      <c r="A131" s="5">
        <v>46108</v>
      </c>
      <c r="B131" t="s">
        <v>40</v>
      </c>
      <c r="C131" t="s">
        <v>35</v>
      </c>
      <c r="D131" t="s">
        <v>242</v>
      </c>
      <c r="E131" t="s">
        <v>40</v>
      </c>
      <c r="F131" s="9">
        <v>30</v>
      </c>
      <c r="G131" t="s">
        <v>36</v>
      </c>
      <c r="H131" t="s">
        <v>37</v>
      </c>
      <c r="I131" t="s">
        <v>38</v>
      </c>
      <c r="J131" t="s">
        <v>172</v>
      </c>
      <c r="K131" t="s">
        <v>238</v>
      </c>
      <c r="L131" t="s">
        <v>239</v>
      </c>
      <c r="M131" s="15">
        <v>0.05</v>
      </c>
      <c r="N131" s="16">
        <f t="shared" si="1"/>
        <v>1.5</v>
      </c>
    </row>
    <row r="132" spans="1:14">
      <c r="A132" s="5">
        <v>46109</v>
      </c>
      <c r="B132" t="s">
        <v>40</v>
      </c>
      <c r="C132" t="s">
        <v>35</v>
      </c>
      <c r="D132" t="s">
        <v>242</v>
      </c>
      <c r="E132" t="s">
        <v>40</v>
      </c>
      <c r="F132" s="9">
        <v>30</v>
      </c>
      <c r="G132" t="s">
        <v>36</v>
      </c>
      <c r="H132" t="s">
        <v>37</v>
      </c>
      <c r="I132" t="s">
        <v>38</v>
      </c>
      <c r="J132" t="s">
        <v>173</v>
      </c>
      <c r="K132" t="s">
        <v>238</v>
      </c>
      <c r="L132" t="s">
        <v>239</v>
      </c>
      <c r="M132" s="15">
        <v>0.05</v>
      </c>
      <c r="N132" s="16">
        <f t="shared" si="1"/>
        <v>1.5</v>
      </c>
    </row>
    <row r="133" spans="1:14">
      <c r="A133" s="5">
        <v>46110</v>
      </c>
      <c r="B133" t="s">
        <v>40</v>
      </c>
      <c r="C133" t="s">
        <v>35</v>
      </c>
      <c r="D133" t="s">
        <v>242</v>
      </c>
      <c r="E133" t="s">
        <v>40</v>
      </c>
      <c r="F133" s="9">
        <v>30</v>
      </c>
      <c r="G133" t="s">
        <v>36</v>
      </c>
      <c r="H133" t="s">
        <v>37</v>
      </c>
      <c r="I133" t="s">
        <v>38</v>
      </c>
      <c r="J133" t="s">
        <v>174</v>
      </c>
      <c r="K133" t="s">
        <v>238</v>
      </c>
      <c r="L133" t="s">
        <v>239</v>
      </c>
      <c r="M133" s="15">
        <v>0.05</v>
      </c>
      <c r="N133" s="16">
        <f t="shared" ref="N133:N154" si="2">(F133*M133)</f>
        <v>1.5</v>
      </c>
    </row>
    <row r="134" spans="1:14">
      <c r="A134" s="5">
        <v>46111</v>
      </c>
      <c r="B134" t="s">
        <v>40</v>
      </c>
      <c r="C134" t="s">
        <v>35</v>
      </c>
      <c r="D134" t="s">
        <v>242</v>
      </c>
      <c r="E134" t="s">
        <v>40</v>
      </c>
      <c r="F134" s="9">
        <v>30</v>
      </c>
      <c r="G134" t="s">
        <v>36</v>
      </c>
      <c r="H134" t="s">
        <v>37</v>
      </c>
      <c r="I134" t="s">
        <v>38</v>
      </c>
      <c r="J134" t="s">
        <v>175</v>
      </c>
      <c r="K134" t="s">
        <v>238</v>
      </c>
      <c r="L134" t="s">
        <v>239</v>
      </c>
      <c r="M134" s="15">
        <v>0.05</v>
      </c>
      <c r="N134" s="16">
        <f t="shared" si="2"/>
        <v>1.5</v>
      </c>
    </row>
    <row r="135" spans="1:14">
      <c r="A135" s="5">
        <v>46112</v>
      </c>
      <c r="B135" t="s">
        <v>40</v>
      </c>
      <c r="C135" t="s">
        <v>35</v>
      </c>
      <c r="D135" t="s">
        <v>242</v>
      </c>
      <c r="E135" t="s">
        <v>40</v>
      </c>
      <c r="F135" s="9">
        <v>30</v>
      </c>
      <c r="G135" t="s">
        <v>36</v>
      </c>
      <c r="H135" t="s">
        <v>37</v>
      </c>
      <c r="I135" t="s">
        <v>38</v>
      </c>
      <c r="J135" t="s">
        <v>176</v>
      </c>
      <c r="K135" t="s">
        <v>238</v>
      </c>
      <c r="L135" t="s">
        <v>239</v>
      </c>
      <c r="M135" s="15">
        <v>0.05</v>
      </c>
      <c r="N135" s="16">
        <f t="shared" si="2"/>
        <v>1.5</v>
      </c>
    </row>
    <row r="136" spans="1:14">
      <c r="A136" s="5">
        <v>46113</v>
      </c>
      <c r="B136" t="s">
        <v>40</v>
      </c>
      <c r="C136" t="s">
        <v>35</v>
      </c>
      <c r="D136" t="s">
        <v>242</v>
      </c>
      <c r="E136" t="s">
        <v>40</v>
      </c>
      <c r="F136" s="9">
        <v>30</v>
      </c>
      <c r="G136" t="s">
        <v>36</v>
      </c>
      <c r="H136" t="s">
        <v>37</v>
      </c>
      <c r="I136" t="s">
        <v>38</v>
      </c>
      <c r="J136" t="s">
        <v>177</v>
      </c>
      <c r="K136" t="s">
        <v>238</v>
      </c>
      <c r="L136" t="s">
        <v>239</v>
      </c>
      <c r="M136" s="15">
        <v>0.05</v>
      </c>
      <c r="N136" s="16">
        <f t="shared" si="2"/>
        <v>1.5</v>
      </c>
    </row>
    <row r="137" spans="1:14">
      <c r="A137" s="5">
        <v>46114</v>
      </c>
      <c r="B137" t="s">
        <v>40</v>
      </c>
      <c r="C137" t="s">
        <v>35</v>
      </c>
      <c r="D137" t="s">
        <v>242</v>
      </c>
      <c r="E137" t="s">
        <v>40</v>
      </c>
      <c r="F137" s="9">
        <v>30</v>
      </c>
      <c r="G137" t="s">
        <v>36</v>
      </c>
      <c r="H137" t="s">
        <v>37</v>
      </c>
      <c r="I137" t="s">
        <v>38</v>
      </c>
      <c r="J137" t="s">
        <v>178</v>
      </c>
      <c r="K137" t="s">
        <v>238</v>
      </c>
      <c r="L137" t="s">
        <v>239</v>
      </c>
      <c r="M137" s="15">
        <v>0.05</v>
      </c>
      <c r="N137" s="16">
        <f t="shared" si="2"/>
        <v>1.5</v>
      </c>
    </row>
    <row r="138" spans="1:14">
      <c r="A138" s="5">
        <v>46115</v>
      </c>
      <c r="B138" t="s">
        <v>40</v>
      </c>
      <c r="C138" t="s">
        <v>35</v>
      </c>
      <c r="D138" t="s">
        <v>242</v>
      </c>
      <c r="E138" t="s">
        <v>40</v>
      </c>
      <c r="F138" s="9">
        <v>30</v>
      </c>
      <c r="G138" t="s">
        <v>36</v>
      </c>
      <c r="H138" t="s">
        <v>37</v>
      </c>
      <c r="I138" t="s">
        <v>38</v>
      </c>
      <c r="J138" t="s">
        <v>179</v>
      </c>
      <c r="K138" t="s">
        <v>238</v>
      </c>
      <c r="L138" t="s">
        <v>239</v>
      </c>
      <c r="M138" s="15">
        <v>0.05</v>
      </c>
      <c r="N138" s="16">
        <f t="shared" si="2"/>
        <v>1.5</v>
      </c>
    </row>
    <row r="139" spans="1:14">
      <c r="A139" s="5">
        <v>46116</v>
      </c>
      <c r="B139" t="s">
        <v>40</v>
      </c>
      <c r="C139" t="s">
        <v>35</v>
      </c>
      <c r="D139" t="s">
        <v>242</v>
      </c>
      <c r="E139" t="s">
        <v>40</v>
      </c>
      <c r="F139" s="9">
        <v>60</v>
      </c>
      <c r="G139" t="s">
        <v>36</v>
      </c>
      <c r="H139" t="s">
        <v>37</v>
      </c>
      <c r="I139" t="s">
        <v>38</v>
      </c>
      <c r="J139" t="s">
        <v>180</v>
      </c>
      <c r="K139" t="s">
        <v>238</v>
      </c>
      <c r="L139" t="s">
        <v>239</v>
      </c>
      <c r="M139" s="15">
        <v>0.05</v>
      </c>
      <c r="N139" s="16">
        <f t="shared" si="2"/>
        <v>3</v>
      </c>
    </row>
    <row r="140" spans="1:14">
      <c r="A140" s="5">
        <v>46117</v>
      </c>
      <c r="B140" t="s">
        <v>40</v>
      </c>
      <c r="C140" t="s">
        <v>35</v>
      </c>
      <c r="D140" t="s">
        <v>242</v>
      </c>
      <c r="E140" t="s">
        <v>40</v>
      </c>
      <c r="F140" s="9">
        <v>60</v>
      </c>
      <c r="G140" t="s">
        <v>36</v>
      </c>
      <c r="H140" t="s">
        <v>37</v>
      </c>
      <c r="I140" t="s">
        <v>38</v>
      </c>
      <c r="J140" t="s">
        <v>181</v>
      </c>
      <c r="K140" t="s">
        <v>238</v>
      </c>
      <c r="L140" t="s">
        <v>241</v>
      </c>
      <c r="M140" s="15">
        <v>0.05</v>
      </c>
      <c r="N140" s="16">
        <f t="shared" si="2"/>
        <v>3</v>
      </c>
    </row>
    <row r="141" spans="1:14">
      <c r="A141" s="5">
        <v>46118</v>
      </c>
      <c r="B141" t="s">
        <v>40</v>
      </c>
      <c r="C141" t="s">
        <v>35</v>
      </c>
      <c r="D141" t="s">
        <v>242</v>
      </c>
      <c r="E141" t="s">
        <v>40</v>
      </c>
      <c r="F141" s="9">
        <v>60</v>
      </c>
      <c r="G141" t="s">
        <v>36</v>
      </c>
      <c r="H141" t="s">
        <v>37</v>
      </c>
      <c r="I141" t="s">
        <v>38</v>
      </c>
      <c r="J141" t="s">
        <v>182</v>
      </c>
      <c r="K141" t="s">
        <v>238</v>
      </c>
      <c r="L141" t="s">
        <v>241</v>
      </c>
      <c r="M141" s="15">
        <v>0.05</v>
      </c>
      <c r="N141" s="16">
        <f t="shared" si="2"/>
        <v>3</v>
      </c>
    </row>
    <row r="142" spans="1:14">
      <c r="A142" s="5">
        <v>46119</v>
      </c>
      <c r="B142" t="s">
        <v>40</v>
      </c>
      <c r="C142" t="s">
        <v>35</v>
      </c>
      <c r="D142" t="s">
        <v>242</v>
      </c>
      <c r="E142" t="s">
        <v>40</v>
      </c>
      <c r="F142" s="9">
        <v>60</v>
      </c>
      <c r="G142" t="s">
        <v>36</v>
      </c>
      <c r="H142" t="s">
        <v>37</v>
      </c>
      <c r="I142" t="s">
        <v>38</v>
      </c>
      <c r="J142" t="s">
        <v>183</v>
      </c>
      <c r="K142" t="s">
        <v>238</v>
      </c>
      <c r="L142" t="s">
        <v>239</v>
      </c>
      <c r="M142" s="15">
        <v>0.05</v>
      </c>
      <c r="N142" s="16">
        <f t="shared" si="2"/>
        <v>3</v>
      </c>
    </row>
    <row r="143" spans="1:14">
      <c r="A143" s="5">
        <v>46120</v>
      </c>
      <c r="B143" t="s">
        <v>40</v>
      </c>
      <c r="C143" t="s">
        <v>35</v>
      </c>
      <c r="D143" t="s">
        <v>242</v>
      </c>
      <c r="E143" t="s">
        <v>40</v>
      </c>
      <c r="F143" s="9">
        <v>60</v>
      </c>
      <c r="G143" t="s">
        <v>36</v>
      </c>
      <c r="H143" t="s">
        <v>37</v>
      </c>
      <c r="I143" t="s">
        <v>38</v>
      </c>
      <c r="J143" t="s">
        <v>184</v>
      </c>
      <c r="K143" t="s">
        <v>238</v>
      </c>
      <c r="L143" t="s">
        <v>239</v>
      </c>
      <c r="M143" s="15">
        <v>0.05</v>
      </c>
      <c r="N143" s="16">
        <f t="shared" si="2"/>
        <v>3</v>
      </c>
    </row>
    <row r="144" spans="1:14">
      <c r="A144" s="5">
        <v>46121</v>
      </c>
      <c r="B144" t="s">
        <v>40</v>
      </c>
      <c r="C144" t="s">
        <v>35</v>
      </c>
      <c r="D144" t="s">
        <v>242</v>
      </c>
      <c r="E144" t="s">
        <v>40</v>
      </c>
      <c r="F144" s="9">
        <v>60</v>
      </c>
      <c r="G144" t="s">
        <v>36</v>
      </c>
      <c r="H144" t="s">
        <v>37</v>
      </c>
      <c r="I144" t="s">
        <v>38</v>
      </c>
      <c r="J144" t="s">
        <v>185</v>
      </c>
      <c r="K144" t="s">
        <v>238</v>
      </c>
      <c r="L144" t="s">
        <v>239</v>
      </c>
      <c r="M144" s="15">
        <v>0.05</v>
      </c>
      <c r="N144" s="16">
        <f t="shared" si="2"/>
        <v>3</v>
      </c>
    </row>
    <row r="145" spans="1:14">
      <c r="A145" s="5">
        <v>46122</v>
      </c>
      <c r="B145" t="s">
        <v>40</v>
      </c>
      <c r="C145" t="s">
        <v>35</v>
      </c>
      <c r="D145" t="s">
        <v>242</v>
      </c>
      <c r="E145" t="s">
        <v>40</v>
      </c>
      <c r="F145" s="9">
        <v>60</v>
      </c>
      <c r="G145" t="s">
        <v>36</v>
      </c>
      <c r="H145" t="s">
        <v>37</v>
      </c>
      <c r="I145" t="s">
        <v>38</v>
      </c>
      <c r="J145" t="s">
        <v>186</v>
      </c>
      <c r="K145" t="s">
        <v>238</v>
      </c>
      <c r="L145" t="s">
        <v>239</v>
      </c>
      <c r="M145" s="15">
        <v>0.05</v>
      </c>
      <c r="N145" s="16">
        <f t="shared" si="2"/>
        <v>3</v>
      </c>
    </row>
    <row r="146" spans="1:14">
      <c r="A146" s="5">
        <v>46123</v>
      </c>
      <c r="B146" t="s">
        <v>40</v>
      </c>
      <c r="C146" t="s">
        <v>35</v>
      </c>
      <c r="D146" t="s">
        <v>242</v>
      </c>
      <c r="E146" t="s">
        <v>40</v>
      </c>
      <c r="F146" s="9">
        <v>60</v>
      </c>
      <c r="G146" t="s">
        <v>36</v>
      </c>
      <c r="H146" t="s">
        <v>37</v>
      </c>
      <c r="I146" t="s">
        <v>38</v>
      </c>
      <c r="J146" t="s">
        <v>187</v>
      </c>
      <c r="K146" t="s">
        <v>238</v>
      </c>
      <c r="L146" t="s">
        <v>239</v>
      </c>
      <c r="M146" s="15">
        <v>0.05</v>
      </c>
      <c r="N146" s="16">
        <f t="shared" si="2"/>
        <v>3</v>
      </c>
    </row>
    <row r="147" spans="1:14">
      <c r="A147" s="5">
        <v>46124</v>
      </c>
      <c r="B147" t="s">
        <v>40</v>
      </c>
      <c r="C147" t="s">
        <v>35</v>
      </c>
      <c r="D147" t="s">
        <v>242</v>
      </c>
      <c r="E147" t="s">
        <v>40</v>
      </c>
      <c r="F147" s="9">
        <v>60</v>
      </c>
      <c r="G147" t="s">
        <v>36</v>
      </c>
      <c r="H147" t="s">
        <v>37</v>
      </c>
      <c r="I147" t="s">
        <v>38</v>
      </c>
      <c r="J147" t="s">
        <v>188</v>
      </c>
      <c r="K147" t="s">
        <v>238</v>
      </c>
      <c r="L147" t="s">
        <v>239</v>
      </c>
      <c r="M147" s="15">
        <v>0.05</v>
      </c>
      <c r="N147" s="16">
        <f t="shared" si="2"/>
        <v>3</v>
      </c>
    </row>
    <row r="148" spans="1:14">
      <c r="A148" s="5">
        <v>46125</v>
      </c>
      <c r="B148" t="s">
        <v>40</v>
      </c>
      <c r="C148" t="s">
        <v>35</v>
      </c>
      <c r="D148" t="s">
        <v>242</v>
      </c>
      <c r="E148" t="s">
        <v>40</v>
      </c>
      <c r="F148" s="9">
        <v>60</v>
      </c>
      <c r="G148" t="s">
        <v>36</v>
      </c>
      <c r="H148" t="s">
        <v>37</v>
      </c>
      <c r="I148" t="s">
        <v>38</v>
      </c>
      <c r="J148" t="s">
        <v>189</v>
      </c>
      <c r="K148" t="s">
        <v>238</v>
      </c>
      <c r="L148" t="s">
        <v>239</v>
      </c>
      <c r="M148" s="15">
        <v>0.05</v>
      </c>
      <c r="N148" s="16">
        <f t="shared" si="2"/>
        <v>3</v>
      </c>
    </row>
    <row r="149" spans="1:14">
      <c r="A149" s="5">
        <v>46126</v>
      </c>
      <c r="B149" t="s">
        <v>40</v>
      </c>
      <c r="C149" t="s">
        <v>35</v>
      </c>
      <c r="D149" t="s">
        <v>243</v>
      </c>
      <c r="E149" t="s">
        <v>40</v>
      </c>
      <c r="F149" s="9">
        <v>60</v>
      </c>
      <c r="G149" t="s">
        <v>36</v>
      </c>
      <c r="H149" t="s">
        <v>37</v>
      </c>
      <c r="I149" t="s">
        <v>38</v>
      </c>
      <c r="J149" t="s">
        <v>190</v>
      </c>
      <c r="K149" t="s">
        <v>238</v>
      </c>
      <c r="L149" t="s">
        <v>239</v>
      </c>
      <c r="M149" s="15">
        <v>0.05</v>
      </c>
      <c r="N149" s="16">
        <f t="shared" si="2"/>
        <v>3</v>
      </c>
    </row>
    <row r="150" spans="1:14">
      <c r="A150" s="5">
        <v>46127</v>
      </c>
      <c r="B150" t="s">
        <v>40</v>
      </c>
      <c r="C150" t="s">
        <v>35</v>
      </c>
      <c r="D150" t="s">
        <v>244</v>
      </c>
      <c r="E150" t="s">
        <v>40</v>
      </c>
      <c r="F150" s="9">
        <v>60</v>
      </c>
      <c r="G150" t="s">
        <v>36</v>
      </c>
      <c r="H150" t="s">
        <v>37</v>
      </c>
      <c r="I150" t="s">
        <v>38</v>
      </c>
      <c r="J150" t="s">
        <v>191</v>
      </c>
      <c r="K150" t="s">
        <v>238</v>
      </c>
      <c r="L150" t="s">
        <v>239</v>
      </c>
      <c r="M150" s="15">
        <v>0.05</v>
      </c>
      <c r="N150" s="16">
        <f t="shared" si="2"/>
        <v>3</v>
      </c>
    </row>
    <row r="151" spans="1:14">
      <c r="A151" s="5">
        <v>46128</v>
      </c>
      <c r="B151" t="s">
        <v>40</v>
      </c>
      <c r="C151" t="s">
        <v>35</v>
      </c>
      <c r="D151" t="s">
        <v>244</v>
      </c>
      <c r="E151" t="s">
        <v>40</v>
      </c>
      <c r="F151" s="9">
        <v>60</v>
      </c>
      <c r="G151" t="s">
        <v>36</v>
      </c>
      <c r="H151" t="s">
        <v>37</v>
      </c>
      <c r="I151" t="s">
        <v>38</v>
      </c>
      <c r="J151" t="s">
        <v>192</v>
      </c>
      <c r="K151" t="s">
        <v>238</v>
      </c>
      <c r="L151" t="s">
        <v>239</v>
      </c>
      <c r="M151" s="15">
        <v>0.05</v>
      </c>
      <c r="N151" s="16">
        <f t="shared" si="2"/>
        <v>3</v>
      </c>
    </row>
    <row r="152" spans="1:14">
      <c r="A152" s="5">
        <v>46142</v>
      </c>
      <c r="B152" t="s">
        <v>40</v>
      </c>
      <c r="C152" t="s">
        <v>30</v>
      </c>
      <c r="D152" t="s">
        <v>245</v>
      </c>
      <c r="E152" t="s">
        <v>242</v>
      </c>
      <c r="F152" s="9">
        <v>10000</v>
      </c>
      <c r="G152" t="s">
        <v>36</v>
      </c>
      <c r="H152" t="s">
        <v>37</v>
      </c>
      <c r="I152" t="s">
        <v>38</v>
      </c>
      <c r="J152" t="s">
        <v>248</v>
      </c>
      <c r="M152" s="15">
        <v>0</v>
      </c>
      <c r="N152" s="16">
        <f t="shared" si="2"/>
        <v>0</v>
      </c>
    </row>
    <row r="153" spans="1:14">
      <c r="A153" s="5">
        <v>46142</v>
      </c>
      <c r="B153" t="s">
        <v>40</v>
      </c>
      <c r="C153" t="s">
        <v>30</v>
      </c>
      <c r="D153" t="s">
        <v>245</v>
      </c>
      <c r="E153" t="s">
        <v>243</v>
      </c>
      <c r="F153" s="9">
        <v>6000</v>
      </c>
      <c r="G153" t="s">
        <v>36</v>
      </c>
      <c r="H153" t="s">
        <v>37</v>
      </c>
      <c r="I153" t="s">
        <v>38</v>
      </c>
      <c r="J153" t="s">
        <v>248</v>
      </c>
      <c r="M153" s="15">
        <v>0</v>
      </c>
      <c r="N153" s="16">
        <f t="shared" si="2"/>
        <v>0</v>
      </c>
    </row>
    <row r="154" spans="1:14">
      <c r="A154" s="5">
        <v>46142</v>
      </c>
      <c r="B154" t="s">
        <v>40</v>
      </c>
      <c r="C154" t="s">
        <v>30</v>
      </c>
      <c r="D154" t="s">
        <v>245</v>
      </c>
      <c r="E154" t="s">
        <v>244</v>
      </c>
      <c r="F154" s="9">
        <v>8500</v>
      </c>
      <c r="G154" t="s">
        <v>36</v>
      </c>
      <c r="H154" t="s">
        <v>37</v>
      </c>
      <c r="I154" t="s">
        <v>38</v>
      </c>
      <c r="J154" t="s">
        <v>248</v>
      </c>
      <c r="M154" s="15">
        <v>0</v>
      </c>
      <c r="N154" s="16">
        <f t="shared" si="2"/>
        <v>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B77B-327D-46B0-8E5F-E914D7C49D83}">
  <dimension ref="A1:I31"/>
  <sheetViews>
    <sheetView topLeftCell="A15" workbookViewId="0">
      <selection activeCell="A21" sqref="A21"/>
    </sheetView>
  </sheetViews>
  <sheetFormatPr baseColWidth="10" defaultRowHeight="13.8"/>
  <cols>
    <col min="1" max="1" width="92.796875" bestFit="1" customWidth="1"/>
    <col min="2" max="2" width="13.19921875" bestFit="1" customWidth="1"/>
    <col min="4" max="4" width="11.8984375" bestFit="1" customWidth="1"/>
  </cols>
  <sheetData>
    <row r="1" spans="1:9">
      <c r="A1" t="s">
        <v>226</v>
      </c>
    </row>
    <row r="3" spans="1:9">
      <c r="A3" t="s">
        <v>193</v>
      </c>
      <c r="B3" t="s">
        <v>194</v>
      </c>
      <c r="F3" t="s">
        <v>231</v>
      </c>
    </row>
    <row r="4" spans="1:9">
      <c r="A4" t="s">
        <v>200</v>
      </c>
      <c r="B4" t="s">
        <v>196</v>
      </c>
      <c r="C4" t="s">
        <v>197</v>
      </c>
      <c r="D4" t="s">
        <v>198</v>
      </c>
    </row>
    <row r="5" spans="1:9">
      <c r="A5" t="s">
        <v>214</v>
      </c>
    </row>
    <row r="6" spans="1:9">
      <c r="A6" t="s">
        <v>195</v>
      </c>
      <c r="B6" t="s">
        <v>196</v>
      </c>
      <c r="C6" t="s">
        <v>197</v>
      </c>
      <c r="D6" t="s">
        <v>198</v>
      </c>
    </row>
    <row r="7" spans="1:9">
      <c r="A7" t="s">
        <v>199</v>
      </c>
      <c r="B7" t="s">
        <v>196</v>
      </c>
      <c r="C7" t="s">
        <v>201</v>
      </c>
      <c r="D7" t="s">
        <v>202</v>
      </c>
    </row>
    <row r="8" spans="1:9">
      <c r="A8" t="s">
        <v>215</v>
      </c>
      <c r="B8" t="s">
        <v>196</v>
      </c>
      <c r="C8" t="s">
        <v>201</v>
      </c>
      <c r="D8" t="s">
        <v>202</v>
      </c>
    </row>
    <row r="9" spans="1:9">
      <c r="A9" t="s">
        <v>203</v>
      </c>
      <c r="B9" t="s">
        <v>194</v>
      </c>
      <c r="C9" t="s">
        <v>206</v>
      </c>
      <c r="D9" t="s">
        <v>207</v>
      </c>
    </row>
    <row r="10" spans="1:9">
      <c r="A10" t="s">
        <v>204</v>
      </c>
      <c r="B10" t="s">
        <v>205</v>
      </c>
      <c r="D10" t="s">
        <v>207</v>
      </c>
    </row>
    <row r="11" spans="1:9">
      <c r="A11" t="s">
        <v>208</v>
      </c>
      <c r="B11" t="s">
        <v>209</v>
      </c>
      <c r="C11" t="s">
        <v>210</v>
      </c>
      <c r="I11" s="12" t="s">
        <v>211</v>
      </c>
    </row>
    <row r="12" spans="1:9">
      <c r="A12" t="s">
        <v>216</v>
      </c>
    </row>
    <row r="13" spans="1:9">
      <c r="A13" t="s">
        <v>212</v>
      </c>
      <c r="B13" t="s">
        <v>213</v>
      </c>
      <c r="C13" t="s">
        <v>197</v>
      </c>
      <c r="D13" t="s">
        <v>198</v>
      </c>
    </row>
    <row r="15" spans="1:9">
      <c r="A15" t="s">
        <v>225</v>
      </c>
    </row>
    <row r="16" spans="1:9">
      <c r="A16" t="s">
        <v>217</v>
      </c>
    </row>
    <row r="17" spans="1:5">
      <c r="A17" t="s">
        <v>218</v>
      </c>
    </row>
    <row r="18" spans="1:5">
      <c r="A18" t="s">
        <v>219</v>
      </c>
    </row>
    <row r="19" spans="1:5">
      <c r="A19" t="s">
        <v>220</v>
      </c>
    </row>
    <row r="20" spans="1:5">
      <c r="A20" t="s">
        <v>224</v>
      </c>
    </row>
    <row r="22" spans="1:5" ht="15.6">
      <c r="A22" s="13" t="s">
        <v>221</v>
      </c>
    </row>
    <row r="23" spans="1:5">
      <c r="A23" t="s">
        <v>222</v>
      </c>
    </row>
    <row r="24" spans="1:5">
      <c r="A24" t="s">
        <v>223</v>
      </c>
    </row>
    <row r="25" spans="1:5">
      <c r="A25" t="s">
        <v>229</v>
      </c>
      <c r="B25" t="s">
        <v>227</v>
      </c>
      <c r="C25" t="s">
        <v>228</v>
      </c>
      <c r="E25" t="s">
        <v>230</v>
      </c>
    </row>
    <row r="28" spans="1:5">
      <c r="A28" t="s">
        <v>232</v>
      </c>
    </row>
    <row r="29" spans="1:5">
      <c r="A29" t="s">
        <v>233</v>
      </c>
    </row>
    <row r="30" spans="1:5">
      <c r="A30" t="s">
        <v>234</v>
      </c>
    </row>
    <row r="31" spans="1:5">
      <c r="A31" t="s">
        <v>235</v>
      </c>
    </row>
  </sheetData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566C-F397-4C46-93C6-2EF2FA35FD4D}">
  <dimension ref="A1:T196"/>
  <sheetViews>
    <sheetView tabSelected="1" topLeftCell="C1" workbookViewId="0">
      <selection activeCell="M11" sqref="M11"/>
    </sheetView>
  </sheetViews>
  <sheetFormatPr baseColWidth="10" defaultRowHeight="13.8"/>
  <cols>
    <col min="1" max="1" width="44.19921875" bestFit="1" customWidth="1"/>
    <col min="2" max="2" width="33" bestFit="1" customWidth="1"/>
    <col min="3" max="3" width="11.59765625" bestFit="1" customWidth="1"/>
    <col min="4" max="4" width="14.59765625" bestFit="1" customWidth="1"/>
    <col min="5" max="5" width="15.5" bestFit="1" customWidth="1"/>
    <col min="6" max="6" width="12.8984375" style="9" bestFit="1" customWidth="1"/>
    <col min="7" max="7" width="17.5" style="9" bestFit="1" customWidth="1"/>
    <col min="11" max="11" width="21.19921875" bestFit="1" customWidth="1"/>
    <col min="16" max="16" width="14.296875" bestFit="1" customWidth="1"/>
    <col min="19" max="19" width="12.5" bestFit="1" customWidth="1"/>
  </cols>
  <sheetData>
    <row r="1" spans="1:20" ht="14.4" thickBot="1">
      <c r="A1" s="1" t="s">
        <v>4</v>
      </c>
      <c r="B1" s="1" t="s">
        <v>7</v>
      </c>
      <c r="C1" s="1" t="s">
        <v>10</v>
      </c>
      <c r="D1" s="1" t="s">
        <v>11</v>
      </c>
      <c r="E1" s="1" t="s">
        <v>14</v>
      </c>
      <c r="F1" s="10" t="s">
        <v>16</v>
      </c>
      <c r="G1" s="10" t="s">
        <v>249</v>
      </c>
      <c r="H1" s="1" t="s">
        <v>19</v>
      </c>
      <c r="I1" s="17" t="s">
        <v>22</v>
      </c>
      <c r="J1" s="18" t="s">
        <v>24</v>
      </c>
      <c r="K1" s="18" t="s">
        <v>26</v>
      </c>
      <c r="L1" s="18" t="s">
        <v>271</v>
      </c>
      <c r="M1" s="18" t="s">
        <v>236</v>
      </c>
      <c r="N1" s="18" t="s">
        <v>237</v>
      </c>
      <c r="O1" s="18" t="s">
        <v>246</v>
      </c>
      <c r="P1" s="18" t="s">
        <v>247</v>
      </c>
      <c r="Q1" s="19" t="s">
        <v>263</v>
      </c>
      <c r="R1" s="19"/>
      <c r="S1" s="19"/>
      <c r="T1" s="19"/>
    </row>
    <row r="2" spans="1:20">
      <c r="A2" s="7">
        <v>46023</v>
      </c>
      <c r="B2" s="8" t="s">
        <v>31</v>
      </c>
      <c r="C2" s="8" t="s">
        <v>32</v>
      </c>
      <c r="D2" s="6" t="s">
        <v>33</v>
      </c>
      <c r="E2" s="6" t="s">
        <v>33</v>
      </c>
      <c r="F2" s="11">
        <v>50000</v>
      </c>
      <c r="H2" s="6" t="s">
        <v>35</v>
      </c>
      <c r="I2" s="6">
        <v>0</v>
      </c>
      <c r="J2" s="6">
        <v>0</v>
      </c>
      <c r="K2" s="6" t="s">
        <v>248</v>
      </c>
      <c r="L2" s="8" t="s">
        <v>269</v>
      </c>
      <c r="M2" t="s">
        <v>238</v>
      </c>
      <c r="N2" t="s">
        <v>239</v>
      </c>
      <c r="O2" s="6">
        <v>0</v>
      </c>
      <c r="P2" s="6">
        <v>0</v>
      </c>
      <c r="Q2" s="6" t="s">
        <v>250</v>
      </c>
      <c r="R2" s="6"/>
      <c r="S2" s="6"/>
    </row>
    <row r="3" spans="1:20">
      <c r="A3" s="5">
        <v>46037</v>
      </c>
      <c r="B3" t="s">
        <v>281</v>
      </c>
      <c r="C3" t="s">
        <v>30</v>
      </c>
      <c r="D3" t="s">
        <v>281</v>
      </c>
      <c r="E3" t="s">
        <v>282</v>
      </c>
      <c r="F3" s="9">
        <v>-2100</v>
      </c>
      <c r="G3" s="11">
        <f>(F2+F3)</f>
        <v>47900</v>
      </c>
      <c r="H3" t="s">
        <v>36</v>
      </c>
      <c r="I3" t="s">
        <v>37</v>
      </c>
      <c r="J3" t="s">
        <v>38</v>
      </c>
      <c r="K3" t="s">
        <v>39</v>
      </c>
      <c r="L3" t="s">
        <v>269</v>
      </c>
      <c r="M3" t="s">
        <v>238</v>
      </c>
      <c r="N3" t="s">
        <v>240</v>
      </c>
      <c r="O3">
        <v>0</v>
      </c>
      <c r="P3">
        <v>0</v>
      </c>
      <c r="Q3" t="s">
        <v>251</v>
      </c>
    </row>
    <row r="4" spans="1:20">
      <c r="A4" s="5">
        <v>46038</v>
      </c>
      <c r="B4" t="s">
        <v>40</v>
      </c>
      <c r="C4" t="s">
        <v>35</v>
      </c>
      <c r="D4" t="s">
        <v>242</v>
      </c>
      <c r="E4" t="s">
        <v>40</v>
      </c>
      <c r="F4" s="9">
        <v>60</v>
      </c>
      <c r="G4" s="11">
        <f>(G3+F4)</f>
        <v>47960</v>
      </c>
      <c r="H4" t="s">
        <v>36</v>
      </c>
      <c r="I4" t="s">
        <v>41</v>
      </c>
      <c r="J4" t="s">
        <v>38</v>
      </c>
      <c r="K4" t="s">
        <v>42</v>
      </c>
      <c r="L4" t="s">
        <v>270</v>
      </c>
      <c r="M4" t="s">
        <v>238</v>
      </c>
      <c r="N4" t="s">
        <v>241</v>
      </c>
      <c r="O4" s="14">
        <v>0.05</v>
      </c>
      <c r="P4" s="16">
        <f>(F4*O4)</f>
        <v>3</v>
      </c>
      <c r="Q4" t="s">
        <v>251</v>
      </c>
      <c r="S4" s="9"/>
    </row>
    <row r="5" spans="1:20">
      <c r="A5" s="5">
        <v>46039</v>
      </c>
      <c r="B5" t="s">
        <v>40</v>
      </c>
      <c r="C5" t="s">
        <v>35</v>
      </c>
      <c r="D5" t="s">
        <v>242</v>
      </c>
      <c r="E5" t="s">
        <v>40</v>
      </c>
      <c r="F5" s="9">
        <v>30</v>
      </c>
      <c r="G5" s="11">
        <f t="shared" ref="G5:G68" si="0">(G4+F5)</f>
        <v>47990</v>
      </c>
      <c r="H5" t="s">
        <v>36</v>
      </c>
      <c r="I5" t="s">
        <v>37</v>
      </c>
      <c r="J5" t="s">
        <v>38</v>
      </c>
      <c r="K5" t="s">
        <v>43</v>
      </c>
      <c r="L5" t="s">
        <v>269</v>
      </c>
      <c r="M5" t="s">
        <v>238</v>
      </c>
      <c r="N5" t="s">
        <v>241</v>
      </c>
      <c r="O5" s="14">
        <v>0.05</v>
      </c>
      <c r="P5" s="16">
        <f t="shared" ref="P5:P68" si="1">(F5*O5)</f>
        <v>1.5</v>
      </c>
      <c r="Q5" t="s">
        <v>250</v>
      </c>
      <c r="S5" s="9"/>
    </row>
    <row r="6" spans="1:20">
      <c r="A6" s="5">
        <v>46039</v>
      </c>
      <c r="B6" t="s">
        <v>40</v>
      </c>
      <c r="C6" t="s">
        <v>35</v>
      </c>
      <c r="D6" t="s">
        <v>242</v>
      </c>
      <c r="E6" t="s">
        <v>40</v>
      </c>
      <c r="F6" s="9">
        <v>30</v>
      </c>
      <c r="G6" s="11">
        <f t="shared" si="0"/>
        <v>48020</v>
      </c>
      <c r="H6" t="s">
        <v>36</v>
      </c>
      <c r="I6" t="s">
        <v>37</v>
      </c>
      <c r="J6" t="s">
        <v>38</v>
      </c>
      <c r="K6" t="s">
        <v>74</v>
      </c>
      <c r="L6" t="s">
        <v>270</v>
      </c>
      <c r="M6" t="s">
        <v>238</v>
      </c>
      <c r="N6" t="s">
        <v>241</v>
      </c>
      <c r="O6" s="14">
        <v>0.05</v>
      </c>
      <c r="P6" s="16">
        <f t="shared" si="1"/>
        <v>1.5</v>
      </c>
      <c r="Q6" t="s">
        <v>251</v>
      </c>
      <c r="S6" s="9"/>
    </row>
    <row r="7" spans="1:20">
      <c r="A7" s="5">
        <v>46040</v>
      </c>
      <c r="B7" t="s">
        <v>40</v>
      </c>
      <c r="C7" t="s">
        <v>35</v>
      </c>
      <c r="D7" t="s">
        <v>242</v>
      </c>
      <c r="E7" t="s">
        <v>40</v>
      </c>
      <c r="F7" s="9">
        <v>60</v>
      </c>
      <c r="G7" s="11">
        <f t="shared" si="0"/>
        <v>48080</v>
      </c>
      <c r="H7" t="s">
        <v>36</v>
      </c>
      <c r="I7" t="s">
        <v>37</v>
      </c>
      <c r="J7" t="s">
        <v>38</v>
      </c>
      <c r="K7" t="s">
        <v>44</v>
      </c>
      <c r="L7" t="s">
        <v>270</v>
      </c>
      <c r="M7" t="s">
        <v>238</v>
      </c>
      <c r="N7" t="s">
        <v>241</v>
      </c>
      <c r="O7" s="14">
        <v>0.05</v>
      </c>
      <c r="P7" s="16">
        <f t="shared" si="1"/>
        <v>3</v>
      </c>
      <c r="Q7" t="s">
        <v>251</v>
      </c>
      <c r="S7" s="9"/>
    </row>
    <row r="8" spans="1:20">
      <c r="A8" s="5">
        <v>46041</v>
      </c>
      <c r="B8" t="s">
        <v>40</v>
      </c>
      <c r="C8" t="s">
        <v>35</v>
      </c>
      <c r="D8" t="s">
        <v>242</v>
      </c>
      <c r="E8" t="s">
        <v>40</v>
      </c>
      <c r="F8" s="9">
        <v>60</v>
      </c>
      <c r="G8" s="11">
        <f t="shared" si="0"/>
        <v>48140</v>
      </c>
      <c r="H8" t="s">
        <v>36</v>
      </c>
      <c r="I8" t="s">
        <v>37</v>
      </c>
      <c r="J8" t="s">
        <v>38</v>
      </c>
      <c r="K8" t="s">
        <v>45</v>
      </c>
      <c r="L8" t="s">
        <v>270</v>
      </c>
      <c r="M8" t="s">
        <v>238</v>
      </c>
      <c r="N8" t="s">
        <v>241</v>
      </c>
      <c r="O8" s="14">
        <v>0.05</v>
      </c>
      <c r="P8" s="16">
        <f t="shared" si="1"/>
        <v>3</v>
      </c>
      <c r="Q8" t="s">
        <v>251</v>
      </c>
      <c r="S8" s="9"/>
    </row>
    <row r="9" spans="1:20">
      <c r="A9" s="5">
        <v>46041</v>
      </c>
      <c r="B9" t="s">
        <v>40</v>
      </c>
      <c r="C9" t="s">
        <v>35</v>
      </c>
      <c r="D9" t="s">
        <v>242</v>
      </c>
      <c r="E9" t="s">
        <v>40</v>
      </c>
      <c r="F9" s="9">
        <v>60</v>
      </c>
      <c r="G9" s="11">
        <f t="shared" si="0"/>
        <v>48200</v>
      </c>
      <c r="H9" t="s">
        <v>36</v>
      </c>
      <c r="I9" t="s">
        <v>37</v>
      </c>
      <c r="J9" t="s">
        <v>38</v>
      </c>
      <c r="K9" t="s">
        <v>46</v>
      </c>
      <c r="L9" t="s">
        <v>270</v>
      </c>
      <c r="M9" t="s">
        <v>238</v>
      </c>
      <c r="N9" t="s">
        <v>241</v>
      </c>
      <c r="O9" s="14">
        <v>0.05</v>
      </c>
      <c r="P9" s="16">
        <f t="shared" si="1"/>
        <v>3</v>
      </c>
      <c r="Q9" t="s">
        <v>251</v>
      </c>
      <c r="S9" s="9"/>
    </row>
    <row r="10" spans="1:20">
      <c r="A10" s="5">
        <v>46041</v>
      </c>
      <c r="B10" t="s">
        <v>40</v>
      </c>
      <c r="C10" t="s">
        <v>35</v>
      </c>
      <c r="D10" t="s">
        <v>242</v>
      </c>
      <c r="E10" t="s">
        <v>40</v>
      </c>
      <c r="F10" s="9">
        <v>60</v>
      </c>
      <c r="G10" s="11">
        <f t="shared" si="0"/>
        <v>48260</v>
      </c>
      <c r="H10" t="s">
        <v>36</v>
      </c>
      <c r="I10" t="s">
        <v>37</v>
      </c>
      <c r="J10" t="s">
        <v>38</v>
      </c>
      <c r="K10" t="s">
        <v>47</v>
      </c>
      <c r="L10" t="s">
        <v>270</v>
      </c>
      <c r="M10" t="s">
        <v>238</v>
      </c>
      <c r="N10" t="s">
        <v>241</v>
      </c>
      <c r="O10" s="14">
        <v>0.05</v>
      </c>
      <c r="P10" s="16">
        <f t="shared" si="1"/>
        <v>3</v>
      </c>
      <c r="Q10" t="s">
        <v>251</v>
      </c>
      <c r="S10" s="9"/>
    </row>
    <row r="11" spans="1:20">
      <c r="A11" s="5">
        <v>46041</v>
      </c>
      <c r="B11" t="s">
        <v>40</v>
      </c>
      <c r="C11" t="s">
        <v>35</v>
      </c>
      <c r="D11" t="s">
        <v>242</v>
      </c>
      <c r="E11" t="s">
        <v>40</v>
      </c>
      <c r="F11" s="9">
        <v>30</v>
      </c>
      <c r="G11" s="11">
        <f t="shared" si="0"/>
        <v>48290</v>
      </c>
      <c r="H11" t="s">
        <v>36</v>
      </c>
      <c r="I11" t="s">
        <v>37</v>
      </c>
      <c r="J11" t="s">
        <v>38</v>
      </c>
      <c r="K11" t="s">
        <v>48</v>
      </c>
      <c r="L11" t="s">
        <v>270</v>
      </c>
      <c r="M11" t="s">
        <v>238</v>
      </c>
      <c r="N11" t="s">
        <v>241</v>
      </c>
      <c r="O11" s="14">
        <v>0.05</v>
      </c>
      <c r="P11" s="16">
        <f t="shared" si="1"/>
        <v>1.5</v>
      </c>
      <c r="Q11" t="s">
        <v>251</v>
      </c>
      <c r="S11" s="9"/>
    </row>
    <row r="12" spans="1:20">
      <c r="A12" s="5">
        <v>46041</v>
      </c>
      <c r="B12" t="s">
        <v>40</v>
      </c>
      <c r="C12" t="s">
        <v>35</v>
      </c>
      <c r="D12" t="s">
        <v>242</v>
      </c>
      <c r="E12" t="s">
        <v>40</v>
      </c>
      <c r="F12" s="9">
        <v>30</v>
      </c>
      <c r="G12" s="11">
        <f t="shared" si="0"/>
        <v>48320</v>
      </c>
      <c r="H12" t="s">
        <v>36</v>
      </c>
      <c r="I12" t="s">
        <v>37</v>
      </c>
      <c r="J12" t="s">
        <v>38</v>
      </c>
      <c r="K12" t="s">
        <v>49</v>
      </c>
      <c r="L12" t="s">
        <v>270</v>
      </c>
      <c r="M12" t="s">
        <v>238</v>
      </c>
      <c r="N12" t="s">
        <v>241</v>
      </c>
      <c r="O12" s="14">
        <v>0.05</v>
      </c>
      <c r="P12" s="16">
        <f t="shared" si="1"/>
        <v>1.5</v>
      </c>
      <c r="Q12" t="s">
        <v>251</v>
      </c>
      <c r="S12" s="9"/>
    </row>
    <row r="13" spans="1:20">
      <c r="A13" s="5">
        <v>46042</v>
      </c>
      <c r="B13" t="s">
        <v>40</v>
      </c>
      <c r="C13" t="s">
        <v>35</v>
      </c>
      <c r="D13" t="s">
        <v>242</v>
      </c>
      <c r="E13" t="s">
        <v>40</v>
      </c>
      <c r="F13" s="9">
        <v>30</v>
      </c>
      <c r="G13" s="11">
        <f t="shared" si="0"/>
        <v>48350</v>
      </c>
      <c r="H13" t="s">
        <v>36</v>
      </c>
      <c r="I13" t="s">
        <v>37</v>
      </c>
      <c r="J13" t="s">
        <v>38</v>
      </c>
      <c r="K13" t="s">
        <v>50</v>
      </c>
      <c r="L13" t="s">
        <v>270</v>
      </c>
      <c r="M13" t="s">
        <v>238</v>
      </c>
      <c r="N13" t="s">
        <v>241</v>
      </c>
      <c r="O13" s="14">
        <v>0.05</v>
      </c>
      <c r="P13" s="16">
        <f t="shared" si="1"/>
        <v>1.5</v>
      </c>
      <c r="Q13" t="s">
        <v>251</v>
      </c>
      <c r="S13" s="9"/>
    </row>
    <row r="14" spans="1:20">
      <c r="A14" s="5">
        <v>46042</v>
      </c>
      <c r="B14" t="s">
        <v>40</v>
      </c>
      <c r="C14" t="s">
        <v>35</v>
      </c>
      <c r="D14" t="s">
        <v>242</v>
      </c>
      <c r="E14" t="s">
        <v>40</v>
      </c>
      <c r="F14" s="9">
        <v>30</v>
      </c>
      <c r="G14" s="11">
        <f t="shared" si="0"/>
        <v>48380</v>
      </c>
      <c r="H14" t="s">
        <v>36</v>
      </c>
      <c r="I14" t="s">
        <v>37</v>
      </c>
      <c r="J14" t="s">
        <v>38</v>
      </c>
      <c r="K14" t="s">
        <v>56</v>
      </c>
      <c r="L14" t="s">
        <v>270</v>
      </c>
      <c r="M14" t="s">
        <v>238</v>
      </c>
      <c r="N14" t="s">
        <v>241</v>
      </c>
      <c r="O14" s="14">
        <v>0.05</v>
      </c>
      <c r="P14" s="16">
        <f t="shared" si="1"/>
        <v>1.5</v>
      </c>
      <c r="Q14" t="s">
        <v>251</v>
      </c>
      <c r="S14" s="9"/>
    </row>
    <row r="15" spans="1:20">
      <c r="A15" s="5">
        <v>46042</v>
      </c>
      <c r="B15" t="s">
        <v>40</v>
      </c>
      <c r="C15" t="s">
        <v>35</v>
      </c>
      <c r="D15" t="s">
        <v>242</v>
      </c>
      <c r="E15" t="s">
        <v>40</v>
      </c>
      <c r="F15" s="9">
        <v>30</v>
      </c>
      <c r="G15" s="11">
        <f t="shared" si="0"/>
        <v>48410</v>
      </c>
      <c r="H15" t="s">
        <v>36</v>
      </c>
      <c r="I15" t="s">
        <v>37</v>
      </c>
      <c r="J15" t="s">
        <v>38</v>
      </c>
      <c r="K15" t="s">
        <v>57</v>
      </c>
      <c r="L15" t="s">
        <v>270</v>
      </c>
      <c r="M15" t="s">
        <v>238</v>
      </c>
      <c r="N15" t="s">
        <v>241</v>
      </c>
      <c r="O15" s="14">
        <v>0.05</v>
      </c>
      <c r="P15" s="16">
        <f t="shared" si="1"/>
        <v>1.5</v>
      </c>
      <c r="Q15" t="s">
        <v>251</v>
      </c>
      <c r="S15" s="9"/>
    </row>
    <row r="16" spans="1:20">
      <c r="A16" s="5">
        <v>46042</v>
      </c>
      <c r="B16" t="s">
        <v>40</v>
      </c>
      <c r="C16" t="s">
        <v>35</v>
      </c>
      <c r="D16" t="s">
        <v>242</v>
      </c>
      <c r="E16" t="s">
        <v>40</v>
      </c>
      <c r="F16" s="9">
        <v>30</v>
      </c>
      <c r="G16" s="11">
        <f t="shared" si="0"/>
        <v>48440</v>
      </c>
      <c r="H16" t="s">
        <v>36</v>
      </c>
      <c r="I16" t="s">
        <v>37</v>
      </c>
      <c r="J16" t="s">
        <v>38</v>
      </c>
      <c r="K16" t="s">
        <v>58</v>
      </c>
      <c r="L16" t="s">
        <v>270</v>
      </c>
      <c r="M16" t="s">
        <v>238</v>
      </c>
      <c r="N16" t="s">
        <v>241</v>
      </c>
      <c r="O16" s="14">
        <v>0.05</v>
      </c>
      <c r="P16" s="16">
        <f t="shared" si="1"/>
        <v>1.5</v>
      </c>
      <c r="Q16" t="s">
        <v>250</v>
      </c>
      <c r="S16" s="9"/>
    </row>
    <row r="17" spans="1:19">
      <c r="A17" s="5">
        <v>46042</v>
      </c>
      <c r="B17" t="s">
        <v>40</v>
      </c>
      <c r="C17" t="s">
        <v>35</v>
      </c>
      <c r="D17" t="s">
        <v>242</v>
      </c>
      <c r="E17" t="s">
        <v>40</v>
      </c>
      <c r="F17" s="9">
        <v>30</v>
      </c>
      <c r="G17" s="11">
        <f t="shared" si="0"/>
        <v>48470</v>
      </c>
      <c r="H17" t="s">
        <v>36</v>
      </c>
      <c r="I17" t="s">
        <v>37</v>
      </c>
      <c r="J17" t="s">
        <v>38</v>
      </c>
      <c r="K17" t="s">
        <v>59</v>
      </c>
      <c r="L17" t="s">
        <v>270</v>
      </c>
      <c r="M17" t="s">
        <v>238</v>
      </c>
      <c r="N17" t="s">
        <v>241</v>
      </c>
      <c r="O17" s="14">
        <v>0.05</v>
      </c>
      <c r="P17" s="16">
        <f t="shared" si="1"/>
        <v>1.5</v>
      </c>
      <c r="Q17" t="s">
        <v>251</v>
      </c>
      <c r="S17" s="9"/>
    </row>
    <row r="18" spans="1:19">
      <c r="A18" s="5">
        <v>46043</v>
      </c>
      <c r="B18" t="s">
        <v>51</v>
      </c>
      <c r="C18" t="s">
        <v>30</v>
      </c>
      <c r="D18" t="s">
        <v>280</v>
      </c>
      <c r="E18" t="s">
        <v>53</v>
      </c>
      <c r="F18" s="9">
        <v>-100</v>
      </c>
      <c r="G18" s="11">
        <f t="shared" si="0"/>
        <v>48370</v>
      </c>
      <c r="H18" t="s">
        <v>54</v>
      </c>
      <c r="I18" t="s">
        <v>37</v>
      </c>
      <c r="J18" t="s">
        <v>38</v>
      </c>
      <c r="K18" t="s">
        <v>55</v>
      </c>
      <c r="L18" t="s">
        <v>269</v>
      </c>
      <c r="M18" t="s">
        <v>238</v>
      </c>
      <c r="N18" t="s">
        <v>241</v>
      </c>
      <c r="O18" s="14">
        <v>0</v>
      </c>
      <c r="P18" s="16">
        <f t="shared" si="1"/>
        <v>0</v>
      </c>
      <c r="Q18" t="s">
        <v>251</v>
      </c>
    </row>
    <row r="19" spans="1:19">
      <c r="A19" s="5">
        <v>46043</v>
      </c>
      <c r="B19" t="s">
        <v>40</v>
      </c>
      <c r="C19" t="s">
        <v>35</v>
      </c>
      <c r="D19" t="s">
        <v>243</v>
      </c>
      <c r="E19" t="s">
        <v>40</v>
      </c>
      <c r="F19" s="9">
        <v>30</v>
      </c>
      <c r="G19" s="11">
        <f t="shared" si="0"/>
        <v>48400</v>
      </c>
      <c r="H19" t="s">
        <v>36</v>
      </c>
      <c r="I19" t="s">
        <v>37</v>
      </c>
      <c r="J19" t="s">
        <v>38</v>
      </c>
      <c r="K19" t="s">
        <v>60</v>
      </c>
      <c r="L19" t="s">
        <v>270</v>
      </c>
      <c r="M19" t="s">
        <v>238</v>
      </c>
      <c r="N19" t="s">
        <v>241</v>
      </c>
      <c r="O19" s="15">
        <v>0.05</v>
      </c>
      <c r="P19" s="16">
        <f t="shared" si="1"/>
        <v>1.5</v>
      </c>
      <c r="Q19" t="s">
        <v>251</v>
      </c>
      <c r="S19" s="9"/>
    </row>
    <row r="20" spans="1:19">
      <c r="A20" s="5">
        <v>46043</v>
      </c>
      <c r="B20" t="s">
        <v>40</v>
      </c>
      <c r="C20" t="s">
        <v>35</v>
      </c>
      <c r="D20" t="s">
        <v>242</v>
      </c>
      <c r="E20" t="s">
        <v>40</v>
      </c>
      <c r="F20" s="9">
        <v>30</v>
      </c>
      <c r="G20" s="11">
        <f t="shared" si="0"/>
        <v>48430</v>
      </c>
      <c r="H20" t="s">
        <v>36</v>
      </c>
      <c r="I20" t="s">
        <v>37</v>
      </c>
      <c r="J20" t="s">
        <v>38</v>
      </c>
      <c r="K20" t="s">
        <v>61</v>
      </c>
      <c r="L20" t="s">
        <v>270</v>
      </c>
      <c r="M20" t="s">
        <v>238</v>
      </c>
      <c r="N20" t="s">
        <v>241</v>
      </c>
      <c r="O20" s="15">
        <v>0.05</v>
      </c>
      <c r="P20" s="16">
        <f t="shared" si="1"/>
        <v>1.5</v>
      </c>
      <c r="Q20" t="s">
        <v>251</v>
      </c>
      <c r="S20" s="9"/>
    </row>
    <row r="21" spans="1:19">
      <c r="A21" s="5">
        <v>46043</v>
      </c>
      <c r="B21" t="s">
        <v>40</v>
      </c>
      <c r="C21" t="s">
        <v>35</v>
      </c>
      <c r="D21" t="s">
        <v>242</v>
      </c>
      <c r="E21" t="s">
        <v>40</v>
      </c>
      <c r="F21" s="9">
        <v>30</v>
      </c>
      <c r="G21" s="11">
        <f t="shared" si="0"/>
        <v>48460</v>
      </c>
      <c r="H21" t="s">
        <v>36</v>
      </c>
      <c r="I21" t="s">
        <v>37</v>
      </c>
      <c r="J21" t="s">
        <v>38</v>
      </c>
      <c r="K21" t="s">
        <v>62</v>
      </c>
      <c r="L21" t="s">
        <v>270</v>
      </c>
      <c r="M21" t="s">
        <v>238</v>
      </c>
      <c r="N21" t="s">
        <v>241</v>
      </c>
      <c r="O21" s="15">
        <v>0.05</v>
      </c>
      <c r="P21" s="16">
        <f t="shared" si="1"/>
        <v>1.5</v>
      </c>
      <c r="Q21" t="s">
        <v>251</v>
      </c>
      <c r="S21" s="9"/>
    </row>
    <row r="22" spans="1:19">
      <c r="A22" s="5">
        <v>46043</v>
      </c>
      <c r="B22" t="s">
        <v>40</v>
      </c>
      <c r="C22" t="s">
        <v>35</v>
      </c>
      <c r="D22" t="s">
        <v>242</v>
      </c>
      <c r="E22" t="s">
        <v>40</v>
      </c>
      <c r="F22" s="9">
        <v>30</v>
      </c>
      <c r="G22" s="11">
        <f t="shared" si="0"/>
        <v>48490</v>
      </c>
      <c r="H22" t="s">
        <v>36</v>
      </c>
      <c r="I22" t="s">
        <v>37</v>
      </c>
      <c r="J22" t="s">
        <v>38</v>
      </c>
      <c r="K22" t="s">
        <v>63</v>
      </c>
      <c r="L22" t="s">
        <v>270</v>
      </c>
      <c r="M22" t="s">
        <v>238</v>
      </c>
      <c r="N22" t="s">
        <v>241</v>
      </c>
      <c r="O22" s="15">
        <v>0.05</v>
      </c>
      <c r="P22" s="16">
        <f t="shared" si="1"/>
        <v>1.5</v>
      </c>
      <c r="Q22" t="s">
        <v>251</v>
      </c>
      <c r="S22" s="9"/>
    </row>
    <row r="23" spans="1:19">
      <c r="A23" s="5">
        <v>46043</v>
      </c>
      <c r="B23" t="s">
        <v>40</v>
      </c>
      <c r="C23" t="s">
        <v>35</v>
      </c>
      <c r="D23" t="s">
        <v>242</v>
      </c>
      <c r="E23" t="s">
        <v>40</v>
      </c>
      <c r="F23" s="9">
        <v>30</v>
      </c>
      <c r="G23" s="11">
        <f t="shared" si="0"/>
        <v>48520</v>
      </c>
      <c r="H23" t="s">
        <v>36</v>
      </c>
      <c r="I23" t="s">
        <v>37</v>
      </c>
      <c r="J23" t="s">
        <v>38</v>
      </c>
      <c r="K23" t="s">
        <v>64</v>
      </c>
      <c r="L23" t="s">
        <v>270</v>
      </c>
      <c r="M23" t="s">
        <v>238</v>
      </c>
      <c r="N23" t="s">
        <v>241</v>
      </c>
      <c r="O23" s="15">
        <v>0.05</v>
      </c>
      <c r="P23" s="16">
        <f t="shared" si="1"/>
        <v>1.5</v>
      </c>
      <c r="Q23" t="s">
        <v>251</v>
      </c>
      <c r="S23" s="9"/>
    </row>
    <row r="24" spans="1:19">
      <c r="A24" s="5">
        <v>46043</v>
      </c>
      <c r="B24" t="s">
        <v>40</v>
      </c>
      <c r="C24" t="s">
        <v>35</v>
      </c>
      <c r="D24" t="s">
        <v>242</v>
      </c>
      <c r="E24" t="s">
        <v>40</v>
      </c>
      <c r="F24" s="9">
        <v>30</v>
      </c>
      <c r="G24" s="11">
        <f t="shared" si="0"/>
        <v>48550</v>
      </c>
      <c r="H24" t="s">
        <v>36</v>
      </c>
      <c r="I24" t="s">
        <v>37</v>
      </c>
      <c r="J24" t="s">
        <v>38</v>
      </c>
      <c r="K24" t="s">
        <v>65</v>
      </c>
      <c r="L24" t="s">
        <v>270</v>
      </c>
      <c r="M24" t="s">
        <v>238</v>
      </c>
      <c r="N24" t="s">
        <v>241</v>
      </c>
      <c r="O24" s="15">
        <v>0.05</v>
      </c>
      <c r="P24" s="16">
        <f t="shared" si="1"/>
        <v>1.5</v>
      </c>
      <c r="Q24" t="s">
        <v>251</v>
      </c>
      <c r="S24" s="9"/>
    </row>
    <row r="25" spans="1:19">
      <c r="A25" s="5">
        <v>46043</v>
      </c>
      <c r="B25" t="s">
        <v>40</v>
      </c>
      <c r="C25" t="s">
        <v>35</v>
      </c>
      <c r="D25" t="s">
        <v>242</v>
      </c>
      <c r="E25" t="s">
        <v>40</v>
      </c>
      <c r="F25" s="9">
        <v>30</v>
      </c>
      <c r="G25" s="11">
        <f t="shared" si="0"/>
        <v>48580</v>
      </c>
      <c r="H25" t="s">
        <v>36</v>
      </c>
      <c r="I25" t="s">
        <v>37</v>
      </c>
      <c r="J25" t="s">
        <v>38</v>
      </c>
      <c r="K25" t="s">
        <v>66</v>
      </c>
      <c r="L25" t="s">
        <v>270</v>
      </c>
      <c r="M25" t="s">
        <v>238</v>
      </c>
      <c r="N25" t="s">
        <v>241</v>
      </c>
      <c r="O25" s="15">
        <v>0.05</v>
      </c>
      <c r="P25" s="16">
        <f t="shared" si="1"/>
        <v>1.5</v>
      </c>
      <c r="Q25" t="s">
        <v>251</v>
      </c>
      <c r="S25" s="9"/>
    </row>
    <row r="26" spans="1:19">
      <c r="A26" s="5">
        <v>46043</v>
      </c>
      <c r="B26" t="s">
        <v>40</v>
      </c>
      <c r="C26" t="s">
        <v>35</v>
      </c>
      <c r="D26" t="s">
        <v>243</v>
      </c>
      <c r="E26" t="s">
        <v>40</v>
      </c>
      <c r="F26" s="9">
        <v>30</v>
      </c>
      <c r="G26" s="11">
        <f t="shared" si="0"/>
        <v>48610</v>
      </c>
      <c r="H26" t="s">
        <v>36</v>
      </c>
      <c r="I26" t="s">
        <v>37</v>
      </c>
      <c r="J26" t="s">
        <v>38</v>
      </c>
      <c r="K26" t="s">
        <v>67</v>
      </c>
      <c r="L26" t="s">
        <v>270</v>
      </c>
      <c r="M26" t="s">
        <v>238</v>
      </c>
      <c r="N26" t="s">
        <v>241</v>
      </c>
      <c r="O26" s="15">
        <v>0.05</v>
      </c>
      <c r="P26" s="16">
        <f t="shared" si="1"/>
        <v>1.5</v>
      </c>
      <c r="Q26" t="s">
        <v>251</v>
      </c>
      <c r="S26" s="9"/>
    </row>
    <row r="27" spans="1:19">
      <c r="A27" s="5">
        <v>46043</v>
      </c>
      <c r="B27" t="s">
        <v>40</v>
      </c>
      <c r="C27" t="s">
        <v>35</v>
      </c>
      <c r="D27" t="s">
        <v>242</v>
      </c>
      <c r="E27" t="s">
        <v>40</v>
      </c>
      <c r="F27" s="9">
        <v>30</v>
      </c>
      <c r="G27" s="11">
        <f t="shared" si="0"/>
        <v>48640</v>
      </c>
      <c r="H27" t="s">
        <v>36</v>
      </c>
      <c r="I27" t="s">
        <v>37</v>
      </c>
      <c r="J27" t="s">
        <v>38</v>
      </c>
      <c r="K27" t="s">
        <v>68</v>
      </c>
      <c r="L27" t="s">
        <v>270</v>
      </c>
      <c r="M27" t="s">
        <v>238</v>
      </c>
      <c r="N27" t="s">
        <v>241</v>
      </c>
      <c r="O27" s="15">
        <v>0.05</v>
      </c>
      <c r="P27" s="16">
        <f t="shared" si="1"/>
        <v>1.5</v>
      </c>
      <c r="Q27" t="s">
        <v>251</v>
      </c>
      <c r="S27" s="9"/>
    </row>
    <row r="28" spans="1:19">
      <c r="A28" s="5">
        <v>46043</v>
      </c>
      <c r="B28" t="s">
        <v>40</v>
      </c>
      <c r="C28" t="s">
        <v>35</v>
      </c>
      <c r="D28" t="s">
        <v>242</v>
      </c>
      <c r="E28" t="s">
        <v>40</v>
      </c>
      <c r="F28" s="9">
        <v>30</v>
      </c>
      <c r="G28" s="11">
        <f t="shared" si="0"/>
        <v>48670</v>
      </c>
      <c r="H28" t="s">
        <v>36</v>
      </c>
      <c r="I28" t="s">
        <v>37</v>
      </c>
      <c r="J28" t="s">
        <v>38</v>
      </c>
      <c r="K28" t="s">
        <v>69</v>
      </c>
      <c r="L28" t="s">
        <v>270</v>
      </c>
      <c r="M28" t="s">
        <v>238</v>
      </c>
      <c r="N28" t="s">
        <v>241</v>
      </c>
      <c r="O28" s="15">
        <v>0.05</v>
      </c>
      <c r="P28" s="16">
        <f t="shared" si="1"/>
        <v>1.5</v>
      </c>
      <c r="Q28" t="s">
        <v>251</v>
      </c>
      <c r="S28" s="9"/>
    </row>
    <row r="29" spans="1:19">
      <c r="A29" s="5">
        <v>46043</v>
      </c>
      <c r="B29" t="s">
        <v>40</v>
      </c>
      <c r="C29" t="s">
        <v>35</v>
      </c>
      <c r="D29" t="s">
        <v>242</v>
      </c>
      <c r="E29" t="s">
        <v>40</v>
      </c>
      <c r="F29" s="9">
        <v>30</v>
      </c>
      <c r="G29" s="11">
        <f t="shared" si="0"/>
        <v>48700</v>
      </c>
      <c r="H29" t="s">
        <v>36</v>
      </c>
      <c r="I29" t="s">
        <v>37</v>
      </c>
      <c r="J29" t="s">
        <v>38</v>
      </c>
      <c r="K29" t="s">
        <v>70</v>
      </c>
      <c r="L29" t="s">
        <v>270</v>
      </c>
      <c r="M29" t="s">
        <v>238</v>
      </c>
      <c r="N29" t="s">
        <v>241</v>
      </c>
      <c r="O29" s="15">
        <v>0.05</v>
      </c>
      <c r="P29" s="16">
        <f t="shared" si="1"/>
        <v>1.5</v>
      </c>
      <c r="Q29" t="s">
        <v>251</v>
      </c>
      <c r="S29" s="9"/>
    </row>
    <row r="30" spans="1:19">
      <c r="A30" s="5">
        <v>46043</v>
      </c>
      <c r="B30" t="s">
        <v>40</v>
      </c>
      <c r="C30" t="s">
        <v>35</v>
      </c>
      <c r="D30" t="s">
        <v>243</v>
      </c>
      <c r="E30" t="s">
        <v>40</v>
      </c>
      <c r="F30" s="9">
        <v>30</v>
      </c>
      <c r="G30" s="11">
        <f t="shared" si="0"/>
        <v>48730</v>
      </c>
      <c r="H30" t="s">
        <v>36</v>
      </c>
      <c r="I30" t="s">
        <v>37</v>
      </c>
      <c r="J30" t="s">
        <v>38</v>
      </c>
      <c r="K30" t="s">
        <v>71</v>
      </c>
      <c r="L30" t="s">
        <v>270</v>
      </c>
      <c r="M30" t="s">
        <v>238</v>
      </c>
      <c r="N30" t="s">
        <v>241</v>
      </c>
      <c r="O30" s="15">
        <v>0.05</v>
      </c>
      <c r="P30" s="16">
        <f t="shared" si="1"/>
        <v>1.5</v>
      </c>
      <c r="Q30" t="s">
        <v>251</v>
      </c>
      <c r="S30" s="9"/>
    </row>
    <row r="31" spans="1:19">
      <c r="A31" s="5">
        <v>46043</v>
      </c>
      <c r="B31" t="s">
        <v>40</v>
      </c>
      <c r="C31" t="s">
        <v>35</v>
      </c>
      <c r="D31" t="s">
        <v>244</v>
      </c>
      <c r="E31" t="s">
        <v>40</v>
      </c>
      <c r="F31" s="9">
        <v>30</v>
      </c>
      <c r="G31" s="11">
        <f t="shared" si="0"/>
        <v>48760</v>
      </c>
      <c r="H31" t="s">
        <v>36</v>
      </c>
      <c r="I31" t="s">
        <v>37</v>
      </c>
      <c r="J31" t="s">
        <v>38</v>
      </c>
      <c r="K31" t="s">
        <v>72</v>
      </c>
      <c r="L31" t="s">
        <v>270</v>
      </c>
      <c r="M31" t="s">
        <v>238</v>
      </c>
      <c r="N31" t="s">
        <v>241</v>
      </c>
      <c r="O31" s="15">
        <v>0.05</v>
      </c>
      <c r="P31" s="16">
        <f t="shared" si="1"/>
        <v>1.5</v>
      </c>
      <c r="Q31" t="s">
        <v>251</v>
      </c>
      <c r="S31" s="9"/>
    </row>
    <row r="32" spans="1:19">
      <c r="A32" s="5">
        <v>46043</v>
      </c>
      <c r="B32" t="s">
        <v>40</v>
      </c>
      <c r="C32" t="s">
        <v>35</v>
      </c>
      <c r="D32" t="s">
        <v>244</v>
      </c>
      <c r="E32" t="s">
        <v>40</v>
      </c>
      <c r="F32" s="9">
        <v>30</v>
      </c>
      <c r="G32" s="11">
        <f t="shared" si="0"/>
        <v>48790</v>
      </c>
      <c r="H32" t="s">
        <v>36</v>
      </c>
      <c r="I32" t="s">
        <v>37</v>
      </c>
      <c r="J32" t="s">
        <v>38</v>
      </c>
      <c r="K32" t="s">
        <v>73</v>
      </c>
      <c r="L32" t="s">
        <v>270</v>
      </c>
      <c r="M32" t="s">
        <v>238</v>
      </c>
      <c r="N32" t="s">
        <v>241</v>
      </c>
      <c r="O32" s="15">
        <v>0.05</v>
      </c>
      <c r="P32" s="16">
        <f t="shared" si="1"/>
        <v>1.5</v>
      </c>
      <c r="Q32" t="s">
        <v>251</v>
      </c>
      <c r="S32" s="9"/>
    </row>
    <row r="33" spans="1:19">
      <c r="A33" s="5">
        <v>46043</v>
      </c>
      <c r="B33" t="s">
        <v>40</v>
      </c>
      <c r="C33" t="s">
        <v>35</v>
      </c>
      <c r="D33" t="s">
        <v>244</v>
      </c>
      <c r="E33" t="s">
        <v>40</v>
      </c>
      <c r="F33" s="9">
        <v>30</v>
      </c>
      <c r="G33" s="11">
        <f t="shared" si="0"/>
        <v>48820</v>
      </c>
      <c r="H33" t="s">
        <v>36</v>
      </c>
      <c r="I33" t="s">
        <v>37</v>
      </c>
      <c r="J33" t="s">
        <v>38</v>
      </c>
      <c r="K33" t="s">
        <v>74</v>
      </c>
      <c r="L33" t="s">
        <v>270</v>
      </c>
      <c r="M33" t="s">
        <v>238</v>
      </c>
      <c r="N33" t="s">
        <v>241</v>
      </c>
      <c r="O33" s="15">
        <v>0.05</v>
      </c>
      <c r="P33" s="16">
        <f t="shared" si="1"/>
        <v>1.5</v>
      </c>
      <c r="Q33" t="s">
        <v>251</v>
      </c>
      <c r="S33" s="9"/>
    </row>
    <row r="34" spans="1:19">
      <c r="A34" s="5">
        <v>46043</v>
      </c>
      <c r="B34" t="s">
        <v>40</v>
      </c>
      <c r="C34" t="s">
        <v>35</v>
      </c>
      <c r="D34" t="s">
        <v>244</v>
      </c>
      <c r="E34" t="s">
        <v>40</v>
      </c>
      <c r="F34" s="9">
        <v>30</v>
      </c>
      <c r="G34" s="11">
        <f t="shared" si="0"/>
        <v>48850</v>
      </c>
      <c r="H34" t="s">
        <v>36</v>
      </c>
      <c r="I34" t="s">
        <v>37</v>
      </c>
      <c r="J34" t="s">
        <v>38</v>
      </c>
      <c r="K34" t="s">
        <v>75</v>
      </c>
      <c r="L34" t="s">
        <v>270</v>
      </c>
      <c r="M34" t="s">
        <v>238</v>
      </c>
      <c r="N34" t="s">
        <v>241</v>
      </c>
      <c r="O34" s="15">
        <v>0.05</v>
      </c>
      <c r="P34" s="16">
        <f t="shared" si="1"/>
        <v>1.5</v>
      </c>
      <c r="Q34" t="s">
        <v>251</v>
      </c>
      <c r="S34" s="9"/>
    </row>
    <row r="35" spans="1:19">
      <c r="A35" s="5">
        <v>46043</v>
      </c>
      <c r="B35" t="s">
        <v>40</v>
      </c>
      <c r="C35" t="s">
        <v>35</v>
      </c>
      <c r="D35" t="s">
        <v>244</v>
      </c>
      <c r="E35" t="s">
        <v>40</v>
      </c>
      <c r="F35" s="9">
        <v>30</v>
      </c>
      <c r="G35" s="11">
        <f t="shared" si="0"/>
        <v>48880</v>
      </c>
      <c r="H35" t="s">
        <v>36</v>
      </c>
      <c r="I35" t="s">
        <v>37</v>
      </c>
      <c r="J35" t="s">
        <v>38</v>
      </c>
      <c r="K35" t="s">
        <v>76</v>
      </c>
      <c r="L35" t="s">
        <v>270</v>
      </c>
      <c r="M35" t="s">
        <v>238</v>
      </c>
      <c r="N35" t="s">
        <v>241</v>
      </c>
      <c r="O35" s="15">
        <v>0.05</v>
      </c>
      <c r="P35" s="16">
        <f t="shared" si="1"/>
        <v>1.5</v>
      </c>
      <c r="Q35" t="s">
        <v>251</v>
      </c>
      <c r="S35" s="9"/>
    </row>
    <row r="36" spans="1:19">
      <c r="A36" s="5">
        <v>46043</v>
      </c>
      <c r="B36" t="s">
        <v>40</v>
      </c>
      <c r="C36" t="s">
        <v>35</v>
      </c>
      <c r="D36" t="s">
        <v>244</v>
      </c>
      <c r="E36" t="s">
        <v>40</v>
      </c>
      <c r="F36" s="9">
        <v>30</v>
      </c>
      <c r="G36" s="11">
        <f t="shared" si="0"/>
        <v>48910</v>
      </c>
      <c r="H36" t="s">
        <v>36</v>
      </c>
      <c r="I36" t="s">
        <v>37</v>
      </c>
      <c r="J36" t="s">
        <v>38</v>
      </c>
      <c r="K36" t="s">
        <v>77</v>
      </c>
      <c r="L36" t="s">
        <v>270</v>
      </c>
      <c r="M36" t="s">
        <v>238</v>
      </c>
      <c r="N36" t="s">
        <v>241</v>
      </c>
      <c r="O36" s="15">
        <v>0.05</v>
      </c>
      <c r="P36" s="16">
        <f t="shared" si="1"/>
        <v>1.5</v>
      </c>
      <c r="Q36" t="s">
        <v>251</v>
      </c>
      <c r="S36" s="9"/>
    </row>
    <row r="37" spans="1:19">
      <c r="A37" s="5">
        <v>46043</v>
      </c>
      <c r="B37" t="s">
        <v>40</v>
      </c>
      <c r="C37" t="s">
        <v>35</v>
      </c>
      <c r="D37" t="s">
        <v>242</v>
      </c>
      <c r="E37" t="s">
        <v>40</v>
      </c>
      <c r="F37" s="9">
        <v>30</v>
      </c>
      <c r="G37" s="11">
        <f t="shared" si="0"/>
        <v>48940</v>
      </c>
      <c r="H37" t="s">
        <v>36</v>
      </c>
      <c r="I37" t="s">
        <v>37</v>
      </c>
      <c r="J37" t="s">
        <v>38</v>
      </c>
      <c r="K37" t="s">
        <v>78</v>
      </c>
      <c r="L37" t="s">
        <v>270</v>
      </c>
      <c r="M37" t="s">
        <v>238</v>
      </c>
      <c r="N37" t="s">
        <v>241</v>
      </c>
      <c r="O37" s="15">
        <v>0.05</v>
      </c>
      <c r="P37" s="16">
        <f t="shared" si="1"/>
        <v>1.5</v>
      </c>
      <c r="Q37" t="s">
        <v>251</v>
      </c>
      <c r="S37" s="9"/>
    </row>
    <row r="38" spans="1:19">
      <c r="A38" s="5">
        <v>46043</v>
      </c>
      <c r="B38" t="s">
        <v>40</v>
      </c>
      <c r="C38" t="s">
        <v>35</v>
      </c>
      <c r="D38" t="s">
        <v>242</v>
      </c>
      <c r="E38" t="s">
        <v>40</v>
      </c>
      <c r="F38" s="9">
        <v>30</v>
      </c>
      <c r="G38" s="11">
        <f t="shared" si="0"/>
        <v>48970</v>
      </c>
      <c r="H38" t="s">
        <v>36</v>
      </c>
      <c r="I38" t="s">
        <v>37</v>
      </c>
      <c r="J38" t="s">
        <v>38</v>
      </c>
      <c r="K38" t="s">
        <v>79</v>
      </c>
      <c r="L38" t="s">
        <v>270</v>
      </c>
      <c r="M38" t="s">
        <v>238</v>
      </c>
      <c r="N38" t="s">
        <v>241</v>
      </c>
      <c r="O38" s="15">
        <v>0.05</v>
      </c>
      <c r="P38" s="16">
        <f t="shared" si="1"/>
        <v>1.5</v>
      </c>
      <c r="Q38" t="s">
        <v>251</v>
      </c>
      <c r="S38" s="9"/>
    </row>
    <row r="39" spans="1:19">
      <c r="A39" s="5">
        <v>46043</v>
      </c>
      <c r="B39" t="s">
        <v>40</v>
      </c>
      <c r="C39" t="s">
        <v>35</v>
      </c>
      <c r="D39" t="s">
        <v>242</v>
      </c>
      <c r="E39" t="s">
        <v>40</v>
      </c>
      <c r="F39" s="9">
        <v>30</v>
      </c>
      <c r="G39" s="11">
        <f t="shared" si="0"/>
        <v>49000</v>
      </c>
      <c r="H39" t="s">
        <v>36</v>
      </c>
      <c r="I39" t="s">
        <v>37</v>
      </c>
      <c r="J39" t="s">
        <v>38</v>
      </c>
      <c r="K39" t="s">
        <v>80</v>
      </c>
      <c r="L39" t="s">
        <v>270</v>
      </c>
      <c r="M39" t="s">
        <v>238</v>
      </c>
      <c r="N39" t="s">
        <v>241</v>
      </c>
      <c r="O39" s="15">
        <v>0.05</v>
      </c>
      <c r="P39" s="16">
        <f t="shared" si="1"/>
        <v>1.5</v>
      </c>
      <c r="Q39" t="s">
        <v>251</v>
      </c>
      <c r="S39" s="9"/>
    </row>
    <row r="40" spans="1:19">
      <c r="A40" s="5">
        <v>46044</v>
      </c>
      <c r="B40" t="s">
        <v>40</v>
      </c>
      <c r="C40" t="s">
        <v>35</v>
      </c>
      <c r="D40" t="s">
        <v>242</v>
      </c>
      <c r="E40" t="s">
        <v>40</v>
      </c>
      <c r="F40" s="9">
        <v>30</v>
      </c>
      <c r="G40" s="11">
        <f t="shared" si="0"/>
        <v>49030</v>
      </c>
      <c r="H40" t="s">
        <v>36</v>
      </c>
      <c r="I40" t="s">
        <v>37</v>
      </c>
      <c r="J40" t="s">
        <v>38</v>
      </c>
      <c r="K40" t="s">
        <v>81</v>
      </c>
      <c r="L40" t="s">
        <v>270</v>
      </c>
      <c r="M40" t="s">
        <v>238</v>
      </c>
      <c r="N40" t="s">
        <v>241</v>
      </c>
      <c r="O40" s="15">
        <v>0.05</v>
      </c>
      <c r="P40" s="16">
        <f t="shared" si="1"/>
        <v>1.5</v>
      </c>
      <c r="Q40" t="s">
        <v>251</v>
      </c>
      <c r="S40" s="9"/>
    </row>
    <row r="41" spans="1:19">
      <c r="A41" s="5">
        <v>46044</v>
      </c>
      <c r="B41" t="s">
        <v>40</v>
      </c>
      <c r="C41" t="s">
        <v>35</v>
      </c>
      <c r="D41" t="s">
        <v>242</v>
      </c>
      <c r="E41" t="s">
        <v>40</v>
      </c>
      <c r="F41" s="9">
        <v>30</v>
      </c>
      <c r="G41" s="11">
        <f t="shared" si="0"/>
        <v>49060</v>
      </c>
      <c r="H41" t="s">
        <v>36</v>
      </c>
      <c r="I41" t="s">
        <v>37</v>
      </c>
      <c r="J41" t="s">
        <v>38</v>
      </c>
      <c r="K41" t="s">
        <v>82</v>
      </c>
      <c r="L41" t="s">
        <v>270</v>
      </c>
      <c r="M41" t="s">
        <v>238</v>
      </c>
      <c r="N41" t="s">
        <v>241</v>
      </c>
      <c r="O41" s="15">
        <v>0.05</v>
      </c>
      <c r="P41" s="16">
        <f t="shared" si="1"/>
        <v>1.5</v>
      </c>
      <c r="Q41" t="s">
        <v>251</v>
      </c>
      <c r="S41" s="9"/>
    </row>
    <row r="42" spans="1:19">
      <c r="A42" s="5">
        <v>46044</v>
      </c>
      <c r="B42" t="s">
        <v>40</v>
      </c>
      <c r="C42" t="s">
        <v>35</v>
      </c>
      <c r="D42" t="s">
        <v>242</v>
      </c>
      <c r="E42" t="s">
        <v>40</v>
      </c>
      <c r="F42" s="9">
        <v>30</v>
      </c>
      <c r="G42" s="11">
        <f t="shared" si="0"/>
        <v>49090</v>
      </c>
      <c r="H42" t="s">
        <v>36</v>
      </c>
      <c r="I42" t="s">
        <v>37</v>
      </c>
      <c r="J42" t="s">
        <v>38</v>
      </c>
      <c r="K42" t="s">
        <v>83</v>
      </c>
      <c r="L42" t="s">
        <v>270</v>
      </c>
      <c r="M42" t="s">
        <v>238</v>
      </c>
      <c r="N42" t="s">
        <v>241</v>
      </c>
      <c r="O42" s="15">
        <v>0.05</v>
      </c>
      <c r="P42" s="16">
        <f t="shared" si="1"/>
        <v>1.5</v>
      </c>
      <c r="Q42" t="s">
        <v>251</v>
      </c>
      <c r="S42" s="9"/>
    </row>
    <row r="43" spans="1:19">
      <c r="A43" s="5">
        <v>46044</v>
      </c>
      <c r="B43" t="s">
        <v>40</v>
      </c>
      <c r="C43" t="s">
        <v>35</v>
      </c>
      <c r="D43" t="s">
        <v>244</v>
      </c>
      <c r="E43" t="s">
        <v>40</v>
      </c>
      <c r="F43" s="9">
        <v>30</v>
      </c>
      <c r="G43" s="11">
        <f t="shared" si="0"/>
        <v>49120</v>
      </c>
      <c r="H43" t="s">
        <v>36</v>
      </c>
      <c r="I43" t="s">
        <v>37</v>
      </c>
      <c r="J43" t="s">
        <v>38</v>
      </c>
      <c r="K43" t="s">
        <v>84</v>
      </c>
      <c r="L43" t="s">
        <v>270</v>
      </c>
      <c r="M43" t="s">
        <v>238</v>
      </c>
      <c r="N43" t="s">
        <v>241</v>
      </c>
      <c r="O43" s="15">
        <v>0.05</v>
      </c>
      <c r="P43" s="16">
        <f t="shared" si="1"/>
        <v>1.5</v>
      </c>
      <c r="Q43" t="s">
        <v>251</v>
      </c>
      <c r="S43" s="9"/>
    </row>
    <row r="44" spans="1:19">
      <c r="A44" s="5">
        <v>46044</v>
      </c>
      <c r="B44" t="s">
        <v>40</v>
      </c>
      <c r="C44" t="s">
        <v>35</v>
      </c>
      <c r="D44" t="s">
        <v>244</v>
      </c>
      <c r="E44" t="s">
        <v>40</v>
      </c>
      <c r="F44" s="9">
        <v>30</v>
      </c>
      <c r="G44" s="11">
        <f t="shared" si="0"/>
        <v>49150</v>
      </c>
      <c r="H44" t="s">
        <v>36</v>
      </c>
      <c r="I44" t="s">
        <v>37</v>
      </c>
      <c r="J44" t="s">
        <v>38</v>
      </c>
      <c r="K44" t="s">
        <v>85</v>
      </c>
      <c r="L44" t="s">
        <v>270</v>
      </c>
      <c r="M44" t="s">
        <v>238</v>
      </c>
      <c r="N44" t="s">
        <v>241</v>
      </c>
      <c r="O44" s="15">
        <v>0.05</v>
      </c>
      <c r="P44" s="16">
        <f t="shared" si="1"/>
        <v>1.5</v>
      </c>
      <c r="Q44" t="s">
        <v>251</v>
      </c>
      <c r="S44" s="9"/>
    </row>
    <row r="45" spans="1:19">
      <c r="A45" s="5">
        <v>46044</v>
      </c>
      <c r="B45" t="s">
        <v>40</v>
      </c>
      <c r="C45" t="s">
        <v>35</v>
      </c>
      <c r="D45" t="s">
        <v>244</v>
      </c>
      <c r="E45" t="s">
        <v>40</v>
      </c>
      <c r="F45" s="9">
        <v>30</v>
      </c>
      <c r="G45" s="11">
        <f t="shared" si="0"/>
        <v>49180</v>
      </c>
      <c r="H45" t="s">
        <v>36</v>
      </c>
      <c r="I45" t="s">
        <v>37</v>
      </c>
      <c r="J45" t="s">
        <v>38</v>
      </c>
      <c r="K45" t="s">
        <v>86</v>
      </c>
      <c r="L45" t="s">
        <v>269</v>
      </c>
      <c r="M45" t="s">
        <v>238</v>
      </c>
      <c r="N45" t="s">
        <v>241</v>
      </c>
      <c r="O45" s="15">
        <v>0.05</v>
      </c>
      <c r="P45" s="16">
        <f t="shared" si="1"/>
        <v>1.5</v>
      </c>
      <c r="Q45" t="s">
        <v>250</v>
      </c>
      <c r="S45" s="9"/>
    </row>
    <row r="46" spans="1:19">
      <c r="A46" s="5">
        <v>46044</v>
      </c>
      <c r="B46" t="s">
        <v>40</v>
      </c>
      <c r="C46" t="s">
        <v>35</v>
      </c>
      <c r="D46" t="s">
        <v>244</v>
      </c>
      <c r="E46" t="s">
        <v>40</v>
      </c>
      <c r="F46" s="9">
        <v>30</v>
      </c>
      <c r="G46" s="11">
        <f t="shared" si="0"/>
        <v>49210</v>
      </c>
      <c r="H46" t="s">
        <v>36</v>
      </c>
      <c r="I46" t="s">
        <v>37</v>
      </c>
      <c r="J46" t="s">
        <v>38</v>
      </c>
      <c r="K46" t="s">
        <v>87</v>
      </c>
      <c r="L46" t="s">
        <v>270</v>
      </c>
      <c r="M46" t="s">
        <v>238</v>
      </c>
      <c r="N46" t="s">
        <v>240</v>
      </c>
      <c r="O46" s="15">
        <v>0.05</v>
      </c>
      <c r="P46" s="16">
        <f t="shared" si="1"/>
        <v>1.5</v>
      </c>
      <c r="Q46" t="s">
        <v>250</v>
      </c>
      <c r="S46" s="9"/>
    </row>
    <row r="47" spans="1:19">
      <c r="A47" s="5">
        <v>46044</v>
      </c>
      <c r="B47" t="s">
        <v>40</v>
      </c>
      <c r="C47" t="s">
        <v>35</v>
      </c>
      <c r="D47" t="s">
        <v>244</v>
      </c>
      <c r="E47" t="s">
        <v>40</v>
      </c>
      <c r="F47" s="9">
        <v>30</v>
      </c>
      <c r="G47" s="11">
        <f t="shared" si="0"/>
        <v>49240</v>
      </c>
      <c r="H47" t="s">
        <v>36</v>
      </c>
      <c r="I47" t="s">
        <v>37</v>
      </c>
      <c r="J47" t="s">
        <v>38</v>
      </c>
      <c r="K47" t="s">
        <v>88</v>
      </c>
      <c r="L47" t="s">
        <v>270</v>
      </c>
      <c r="M47" t="s">
        <v>238</v>
      </c>
      <c r="N47" t="s">
        <v>240</v>
      </c>
      <c r="O47" s="15">
        <v>0.05</v>
      </c>
      <c r="P47" s="16">
        <f t="shared" si="1"/>
        <v>1.5</v>
      </c>
      <c r="Q47" t="s">
        <v>250</v>
      </c>
      <c r="S47" s="9"/>
    </row>
    <row r="48" spans="1:19">
      <c r="A48" s="5">
        <v>46044</v>
      </c>
      <c r="B48" t="s">
        <v>40</v>
      </c>
      <c r="C48" t="s">
        <v>35</v>
      </c>
      <c r="D48" t="s">
        <v>244</v>
      </c>
      <c r="E48" t="s">
        <v>40</v>
      </c>
      <c r="F48" s="9">
        <v>30</v>
      </c>
      <c r="G48" s="11">
        <f t="shared" si="0"/>
        <v>49270</v>
      </c>
      <c r="H48" t="s">
        <v>36</v>
      </c>
      <c r="I48" t="s">
        <v>37</v>
      </c>
      <c r="J48" t="s">
        <v>38</v>
      </c>
      <c r="K48" t="s">
        <v>89</v>
      </c>
      <c r="L48" t="s">
        <v>270</v>
      </c>
      <c r="M48" t="s">
        <v>238</v>
      </c>
      <c r="N48" t="s">
        <v>240</v>
      </c>
      <c r="O48" s="15">
        <v>0.05</v>
      </c>
      <c r="P48" s="16">
        <f t="shared" si="1"/>
        <v>1.5</v>
      </c>
      <c r="Q48" t="s">
        <v>250</v>
      </c>
      <c r="S48" s="9"/>
    </row>
    <row r="49" spans="1:19">
      <c r="A49" s="5">
        <v>46044</v>
      </c>
      <c r="B49" t="s">
        <v>40</v>
      </c>
      <c r="C49" t="s">
        <v>35</v>
      </c>
      <c r="D49" t="s">
        <v>244</v>
      </c>
      <c r="E49" t="s">
        <v>40</v>
      </c>
      <c r="F49" s="9">
        <v>30</v>
      </c>
      <c r="G49" s="11">
        <f t="shared" si="0"/>
        <v>49300</v>
      </c>
      <c r="H49" t="s">
        <v>36</v>
      </c>
      <c r="I49" t="s">
        <v>37</v>
      </c>
      <c r="J49" t="s">
        <v>38</v>
      </c>
      <c r="K49" t="s">
        <v>90</v>
      </c>
      <c r="L49" t="s">
        <v>270</v>
      </c>
      <c r="M49" t="s">
        <v>238</v>
      </c>
      <c r="N49" t="s">
        <v>240</v>
      </c>
      <c r="O49" s="15">
        <v>0.05</v>
      </c>
      <c r="P49" s="16">
        <f t="shared" si="1"/>
        <v>1.5</v>
      </c>
      <c r="Q49" t="s">
        <v>251</v>
      </c>
      <c r="S49" s="9"/>
    </row>
    <row r="50" spans="1:19">
      <c r="A50" s="5">
        <v>46044</v>
      </c>
      <c r="B50" t="s">
        <v>40</v>
      </c>
      <c r="C50" t="s">
        <v>35</v>
      </c>
      <c r="D50" t="s">
        <v>244</v>
      </c>
      <c r="E50" t="s">
        <v>40</v>
      </c>
      <c r="F50" s="9">
        <v>30</v>
      </c>
      <c r="G50" s="11">
        <f t="shared" si="0"/>
        <v>49330</v>
      </c>
      <c r="H50" t="s">
        <v>36</v>
      </c>
      <c r="I50" t="s">
        <v>37</v>
      </c>
      <c r="J50" t="s">
        <v>38</v>
      </c>
      <c r="K50" t="s">
        <v>91</v>
      </c>
      <c r="L50" t="s">
        <v>270</v>
      </c>
      <c r="M50" t="s">
        <v>238</v>
      </c>
      <c r="N50" t="s">
        <v>240</v>
      </c>
      <c r="O50" s="15">
        <v>0.05</v>
      </c>
      <c r="P50" s="16">
        <f t="shared" si="1"/>
        <v>1.5</v>
      </c>
      <c r="Q50" t="s">
        <v>251</v>
      </c>
      <c r="S50" s="9"/>
    </row>
    <row r="51" spans="1:19">
      <c r="A51" s="5">
        <v>46044</v>
      </c>
      <c r="B51" t="s">
        <v>40</v>
      </c>
      <c r="C51" t="s">
        <v>35</v>
      </c>
      <c r="D51" t="s">
        <v>244</v>
      </c>
      <c r="E51" t="s">
        <v>40</v>
      </c>
      <c r="F51" s="9">
        <v>30</v>
      </c>
      <c r="G51" s="11">
        <f t="shared" si="0"/>
        <v>49360</v>
      </c>
      <c r="H51" t="s">
        <v>36</v>
      </c>
      <c r="I51" t="s">
        <v>37</v>
      </c>
      <c r="J51" t="s">
        <v>38</v>
      </c>
      <c r="K51" t="s">
        <v>92</v>
      </c>
      <c r="L51" t="s">
        <v>270</v>
      </c>
      <c r="M51" t="s">
        <v>238</v>
      </c>
      <c r="N51" t="s">
        <v>240</v>
      </c>
      <c r="O51" s="15">
        <v>0.05</v>
      </c>
      <c r="P51" s="16">
        <f t="shared" si="1"/>
        <v>1.5</v>
      </c>
      <c r="Q51" t="s">
        <v>251</v>
      </c>
      <c r="S51" s="9"/>
    </row>
    <row r="52" spans="1:19">
      <c r="A52" s="5">
        <v>46044</v>
      </c>
      <c r="B52" t="s">
        <v>40</v>
      </c>
      <c r="C52" t="s">
        <v>35</v>
      </c>
      <c r="D52" t="s">
        <v>244</v>
      </c>
      <c r="E52" t="s">
        <v>40</v>
      </c>
      <c r="F52" s="9">
        <v>30</v>
      </c>
      <c r="G52" s="11">
        <f t="shared" si="0"/>
        <v>49390</v>
      </c>
      <c r="H52" t="s">
        <v>36</v>
      </c>
      <c r="I52" t="s">
        <v>37</v>
      </c>
      <c r="J52" t="s">
        <v>38</v>
      </c>
      <c r="K52" t="s">
        <v>93</v>
      </c>
      <c r="L52" t="s">
        <v>270</v>
      </c>
      <c r="M52" t="s">
        <v>238</v>
      </c>
      <c r="N52" t="s">
        <v>240</v>
      </c>
      <c r="O52" s="15">
        <v>0.05</v>
      </c>
      <c r="P52" s="16">
        <f t="shared" si="1"/>
        <v>1.5</v>
      </c>
      <c r="Q52" t="s">
        <v>251</v>
      </c>
      <c r="S52" s="9"/>
    </row>
    <row r="53" spans="1:19">
      <c r="A53" s="5">
        <v>46044</v>
      </c>
      <c r="B53" t="s">
        <v>40</v>
      </c>
      <c r="C53" t="s">
        <v>35</v>
      </c>
      <c r="D53" t="s">
        <v>244</v>
      </c>
      <c r="E53" t="s">
        <v>40</v>
      </c>
      <c r="F53" s="9">
        <v>30</v>
      </c>
      <c r="G53" s="11">
        <f t="shared" si="0"/>
        <v>49420</v>
      </c>
      <c r="H53" t="s">
        <v>36</v>
      </c>
      <c r="I53" t="s">
        <v>37</v>
      </c>
      <c r="J53" t="s">
        <v>38</v>
      </c>
      <c r="K53" t="s">
        <v>94</v>
      </c>
      <c r="L53" t="s">
        <v>270</v>
      </c>
      <c r="M53" t="s">
        <v>238</v>
      </c>
      <c r="N53" t="s">
        <v>240</v>
      </c>
      <c r="O53" s="15">
        <v>0.05</v>
      </c>
      <c r="P53" s="16">
        <f t="shared" si="1"/>
        <v>1.5</v>
      </c>
      <c r="Q53" t="s">
        <v>251</v>
      </c>
      <c r="S53" s="9"/>
    </row>
    <row r="54" spans="1:19">
      <c r="A54" s="5">
        <v>46044</v>
      </c>
      <c r="B54" t="s">
        <v>40</v>
      </c>
      <c r="C54" t="s">
        <v>35</v>
      </c>
      <c r="D54" t="s">
        <v>244</v>
      </c>
      <c r="E54" t="s">
        <v>40</v>
      </c>
      <c r="F54" s="9">
        <v>30</v>
      </c>
      <c r="G54" s="11">
        <f t="shared" si="0"/>
        <v>49450</v>
      </c>
      <c r="H54" t="s">
        <v>36</v>
      </c>
      <c r="I54" t="s">
        <v>37</v>
      </c>
      <c r="J54" t="s">
        <v>38</v>
      </c>
      <c r="K54" t="s">
        <v>95</v>
      </c>
      <c r="L54" t="s">
        <v>270</v>
      </c>
      <c r="M54" t="s">
        <v>238</v>
      </c>
      <c r="N54" t="s">
        <v>240</v>
      </c>
      <c r="O54" s="15">
        <v>0.05</v>
      </c>
      <c r="P54" s="16">
        <f t="shared" si="1"/>
        <v>1.5</v>
      </c>
      <c r="Q54" t="s">
        <v>251</v>
      </c>
      <c r="S54" s="9"/>
    </row>
    <row r="55" spans="1:19">
      <c r="A55" s="5">
        <v>46044</v>
      </c>
      <c r="B55" t="s">
        <v>40</v>
      </c>
      <c r="C55" t="s">
        <v>35</v>
      </c>
      <c r="D55" t="s">
        <v>244</v>
      </c>
      <c r="E55" t="s">
        <v>40</v>
      </c>
      <c r="F55" s="9">
        <v>30</v>
      </c>
      <c r="G55" s="11">
        <f t="shared" si="0"/>
        <v>49480</v>
      </c>
      <c r="H55" t="s">
        <v>36</v>
      </c>
      <c r="I55" t="s">
        <v>37</v>
      </c>
      <c r="J55" t="s">
        <v>38</v>
      </c>
      <c r="K55" t="s">
        <v>96</v>
      </c>
      <c r="L55" t="s">
        <v>270</v>
      </c>
      <c r="M55" t="s">
        <v>238</v>
      </c>
      <c r="N55" t="s">
        <v>241</v>
      </c>
      <c r="O55" s="15">
        <v>0.05</v>
      </c>
      <c r="P55" s="16">
        <f t="shared" si="1"/>
        <v>1.5</v>
      </c>
      <c r="Q55" t="s">
        <v>251</v>
      </c>
      <c r="S55" s="9"/>
    </row>
    <row r="56" spans="1:19">
      <c r="A56" s="5">
        <v>46044</v>
      </c>
      <c r="B56" t="s">
        <v>40</v>
      </c>
      <c r="C56" t="s">
        <v>35</v>
      </c>
      <c r="D56" t="s">
        <v>244</v>
      </c>
      <c r="E56" t="s">
        <v>40</v>
      </c>
      <c r="F56" s="9">
        <v>30</v>
      </c>
      <c r="G56" s="11">
        <f t="shared" si="0"/>
        <v>49510</v>
      </c>
      <c r="H56" t="s">
        <v>36</v>
      </c>
      <c r="I56" t="s">
        <v>37</v>
      </c>
      <c r="J56" t="s">
        <v>38</v>
      </c>
      <c r="K56" t="s">
        <v>97</v>
      </c>
      <c r="L56" t="s">
        <v>270</v>
      </c>
      <c r="M56" t="s">
        <v>238</v>
      </c>
      <c r="N56" t="s">
        <v>241</v>
      </c>
      <c r="O56" s="15">
        <v>0.05</v>
      </c>
      <c r="P56" s="16">
        <f t="shared" si="1"/>
        <v>1.5</v>
      </c>
      <c r="Q56" t="s">
        <v>251</v>
      </c>
      <c r="S56" s="9"/>
    </row>
    <row r="57" spans="1:19">
      <c r="A57" s="5">
        <v>46044</v>
      </c>
      <c r="B57" t="s">
        <v>40</v>
      </c>
      <c r="C57" t="s">
        <v>35</v>
      </c>
      <c r="D57" t="s">
        <v>244</v>
      </c>
      <c r="E57" t="s">
        <v>40</v>
      </c>
      <c r="F57" s="9">
        <v>30</v>
      </c>
      <c r="G57" s="11">
        <f t="shared" si="0"/>
        <v>49540</v>
      </c>
      <c r="H57" t="s">
        <v>36</v>
      </c>
      <c r="I57" t="s">
        <v>37</v>
      </c>
      <c r="J57" t="s">
        <v>38</v>
      </c>
      <c r="K57" t="s">
        <v>98</v>
      </c>
      <c r="L57" t="s">
        <v>270</v>
      </c>
      <c r="M57" t="s">
        <v>238</v>
      </c>
      <c r="N57" t="s">
        <v>241</v>
      </c>
      <c r="O57" s="15">
        <v>0.05</v>
      </c>
      <c r="P57" s="16">
        <f t="shared" si="1"/>
        <v>1.5</v>
      </c>
      <c r="Q57" t="s">
        <v>251</v>
      </c>
      <c r="S57" s="9"/>
    </row>
    <row r="58" spans="1:19">
      <c r="A58" s="5">
        <v>46044</v>
      </c>
      <c r="B58" t="s">
        <v>40</v>
      </c>
      <c r="C58" t="s">
        <v>35</v>
      </c>
      <c r="D58" t="s">
        <v>244</v>
      </c>
      <c r="E58" t="s">
        <v>40</v>
      </c>
      <c r="F58" s="9">
        <v>30</v>
      </c>
      <c r="G58" s="11">
        <f t="shared" si="0"/>
        <v>49570</v>
      </c>
      <c r="H58" t="s">
        <v>36</v>
      </c>
      <c r="I58" t="s">
        <v>37</v>
      </c>
      <c r="J58" t="s">
        <v>38</v>
      </c>
      <c r="K58" t="s">
        <v>99</v>
      </c>
      <c r="L58" t="s">
        <v>270</v>
      </c>
      <c r="M58" t="s">
        <v>238</v>
      </c>
      <c r="N58" t="s">
        <v>241</v>
      </c>
      <c r="O58" s="15">
        <v>0.05</v>
      </c>
      <c r="P58" s="16">
        <f t="shared" si="1"/>
        <v>1.5</v>
      </c>
      <c r="Q58" t="s">
        <v>251</v>
      </c>
      <c r="S58" s="9"/>
    </row>
    <row r="59" spans="1:19">
      <c r="A59" s="5">
        <v>46044</v>
      </c>
      <c r="B59" t="s">
        <v>40</v>
      </c>
      <c r="C59" t="s">
        <v>35</v>
      </c>
      <c r="D59" t="s">
        <v>244</v>
      </c>
      <c r="E59" t="s">
        <v>40</v>
      </c>
      <c r="F59" s="9">
        <v>30</v>
      </c>
      <c r="G59" s="11">
        <f t="shared" si="0"/>
        <v>49600</v>
      </c>
      <c r="H59" t="s">
        <v>36</v>
      </c>
      <c r="I59" t="s">
        <v>37</v>
      </c>
      <c r="J59" t="s">
        <v>38</v>
      </c>
      <c r="K59" t="s">
        <v>100</v>
      </c>
      <c r="L59" t="s">
        <v>270</v>
      </c>
      <c r="M59" t="s">
        <v>238</v>
      </c>
      <c r="N59" t="s">
        <v>241</v>
      </c>
      <c r="O59" s="15">
        <v>0.05</v>
      </c>
      <c r="P59" s="16">
        <f t="shared" si="1"/>
        <v>1.5</v>
      </c>
      <c r="Q59" t="s">
        <v>251</v>
      </c>
      <c r="S59" s="9"/>
    </row>
    <row r="60" spans="1:19">
      <c r="A60" s="5">
        <v>46044</v>
      </c>
      <c r="B60" t="s">
        <v>40</v>
      </c>
      <c r="C60" t="s">
        <v>35</v>
      </c>
      <c r="D60" t="s">
        <v>244</v>
      </c>
      <c r="E60" t="s">
        <v>40</v>
      </c>
      <c r="F60" s="9">
        <v>30</v>
      </c>
      <c r="G60" s="11">
        <f t="shared" si="0"/>
        <v>49630</v>
      </c>
      <c r="H60" t="s">
        <v>36</v>
      </c>
      <c r="I60" t="s">
        <v>37</v>
      </c>
      <c r="J60" t="s">
        <v>38</v>
      </c>
      <c r="K60" t="s">
        <v>101</v>
      </c>
      <c r="L60" t="s">
        <v>270</v>
      </c>
      <c r="M60" t="s">
        <v>238</v>
      </c>
      <c r="N60" t="s">
        <v>241</v>
      </c>
      <c r="O60" s="15">
        <v>0.05</v>
      </c>
      <c r="P60" s="16">
        <f t="shared" si="1"/>
        <v>1.5</v>
      </c>
      <c r="Q60" t="s">
        <v>251</v>
      </c>
      <c r="S60" s="9"/>
    </row>
    <row r="61" spans="1:19">
      <c r="A61" s="5">
        <v>46044</v>
      </c>
      <c r="B61" t="s">
        <v>40</v>
      </c>
      <c r="C61" t="s">
        <v>35</v>
      </c>
      <c r="D61" t="s">
        <v>244</v>
      </c>
      <c r="E61" t="s">
        <v>40</v>
      </c>
      <c r="F61" s="9">
        <v>30</v>
      </c>
      <c r="G61" s="11">
        <f t="shared" si="0"/>
        <v>49660</v>
      </c>
      <c r="H61" t="s">
        <v>36</v>
      </c>
      <c r="I61" t="s">
        <v>37</v>
      </c>
      <c r="J61" t="s">
        <v>38</v>
      </c>
      <c r="K61" t="s">
        <v>102</v>
      </c>
      <c r="L61" t="s">
        <v>270</v>
      </c>
      <c r="M61" t="s">
        <v>238</v>
      </c>
      <c r="N61" t="s">
        <v>241</v>
      </c>
      <c r="O61" s="15">
        <v>0.05</v>
      </c>
      <c r="P61" s="16">
        <f t="shared" si="1"/>
        <v>1.5</v>
      </c>
      <c r="Q61" t="s">
        <v>251</v>
      </c>
      <c r="S61" s="9"/>
    </row>
    <row r="62" spans="1:19">
      <c r="A62" s="5">
        <v>46044</v>
      </c>
      <c r="B62" t="s">
        <v>40</v>
      </c>
      <c r="C62" t="s">
        <v>35</v>
      </c>
      <c r="D62" t="s">
        <v>244</v>
      </c>
      <c r="E62" t="s">
        <v>40</v>
      </c>
      <c r="F62" s="9">
        <v>30</v>
      </c>
      <c r="G62" s="11">
        <f t="shared" si="0"/>
        <v>49690</v>
      </c>
      <c r="H62" t="s">
        <v>36</v>
      </c>
      <c r="I62" t="s">
        <v>37</v>
      </c>
      <c r="J62" t="s">
        <v>38</v>
      </c>
      <c r="K62" t="s">
        <v>103</v>
      </c>
      <c r="L62" t="s">
        <v>270</v>
      </c>
      <c r="M62" t="s">
        <v>238</v>
      </c>
      <c r="N62" t="s">
        <v>241</v>
      </c>
      <c r="O62" s="15">
        <v>0.05</v>
      </c>
      <c r="P62" s="16">
        <f t="shared" si="1"/>
        <v>1.5</v>
      </c>
      <c r="Q62" t="s">
        <v>251</v>
      </c>
      <c r="S62" s="9"/>
    </row>
    <row r="63" spans="1:19">
      <c r="A63" s="5">
        <v>46044</v>
      </c>
      <c r="B63" t="s">
        <v>40</v>
      </c>
      <c r="C63" t="s">
        <v>35</v>
      </c>
      <c r="D63" t="s">
        <v>244</v>
      </c>
      <c r="E63" t="s">
        <v>40</v>
      </c>
      <c r="F63" s="9">
        <v>30</v>
      </c>
      <c r="G63" s="11">
        <f t="shared" si="0"/>
        <v>49720</v>
      </c>
      <c r="H63" t="s">
        <v>36</v>
      </c>
      <c r="I63" t="s">
        <v>37</v>
      </c>
      <c r="J63" t="s">
        <v>38</v>
      </c>
      <c r="K63" t="s">
        <v>104</v>
      </c>
      <c r="L63" t="s">
        <v>270</v>
      </c>
      <c r="M63" t="s">
        <v>238</v>
      </c>
      <c r="N63" t="s">
        <v>241</v>
      </c>
      <c r="O63" s="15">
        <v>0.05</v>
      </c>
      <c r="P63" s="16">
        <f t="shared" si="1"/>
        <v>1.5</v>
      </c>
      <c r="Q63" t="s">
        <v>251</v>
      </c>
      <c r="S63" s="9"/>
    </row>
    <row r="64" spans="1:19">
      <c r="A64" s="5">
        <v>46044</v>
      </c>
      <c r="B64" t="s">
        <v>40</v>
      </c>
      <c r="C64" t="s">
        <v>35</v>
      </c>
      <c r="D64" t="s">
        <v>244</v>
      </c>
      <c r="E64" t="s">
        <v>40</v>
      </c>
      <c r="F64" s="9">
        <v>30</v>
      </c>
      <c r="G64" s="11">
        <f t="shared" si="0"/>
        <v>49750</v>
      </c>
      <c r="H64" t="s">
        <v>36</v>
      </c>
      <c r="I64" t="s">
        <v>37</v>
      </c>
      <c r="J64" t="s">
        <v>38</v>
      </c>
      <c r="K64" t="s">
        <v>105</v>
      </c>
      <c r="L64" t="s">
        <v>270</v>
      </c>
      <c r="M64" t="s">
        <v>238</v>
      </c>
      <c r="N64" t="s">
        <v>241</v>
      </c>
      <c r="O64" s="15">
        <v>0.05</v>
      </c>
      <c r="P64" s="16">
        <f t="shared" si="1"/>
        <v>1.5</v>
      </c>
      <c r="Q64" t="s">
        <v>251</v>
      </c>
      <c r="S64" s="9"/>
    </row>
    <row r="65" spans="1:19">
      <c r="A65" s="5">
        <v>46045</v>
      </c>
      <c r="B65" t="s">
        <v>40</v>
      </c>
      <c r="C65" t="s">
        <v>35</v>
      </c>
      <c r="D65" t="s">
        <v>244</v>
      </c>
      <c r="E65" t="s">
        <v>40</v>
      </c>
      <c r="F65" s="9">
        <v>60</v>
      </c>
      <c r="G65" s="11">
        <f t="shared" si="0"/>
        <v>49810</v>
      </c>
      <c r="H65" t="s">
        <v>36</v>
      </c>
      <c r="I65" t="s">
        <v>37</v>
      </c>
      <c r="J65" t="s">
        <v>38</v>
      </c>
      <c r="K65" t="s">
        <v>106</v>
      </c>
      <c r="L65" t="s">
        <v>270</v>
      </c>
      <c r="M65" t="s">
        <v>238</v>
      </c>
      <c r="N65" t="s">
        <v>241</v>
      </c>
      <c r="O65" s="15">
        <v>0.05</v>
      </c>
      <c r="P65" s="16">
        <f t="shared" si="1"/>
        <v>3</v>
      </c>
      <c r="Q65" t="s">
        <v>251</v>
      </c>
      <c r="S65" s="9"/>
    </row>
    <row r="66" spans="1:19">
      <c r="A66" s="5">
        <v>46045</v>
      </c>
      <c r="B66" t="s">
        <v>40</v>
      </c>
      <c r="C66" t="s">
        <v>35</v>
      </c>
      <c r="D66" t="s">
        <v>244</v>
      </c>
      <c r="E66" t="s">
        <v>40</v>
      </c>
      <c r="F66" s="9">
        <v>60</v>
      </c>
      <c r="G66" s="11">
        <f t="shared" si="0"/>
        <v>49870</v>
      </c>
      <c r="H66" t="s">
        <v>36</v>
      </c>
      <c r="I66" t="s">
        <v>37</v>
      </c>
      <c r="J66" t="s">
        <v>38</v>
      </c>
      <c r="K66" t="s">
        <v>107</v>
      </c>
      <c r="L66" t="s">
        <v>270</v>
      </c>
      <c r="M66" t="s">
        <v>238</v>
      </c>
      <c r="N66" t="s">
        <v>240</v>
      </c>
      <c r="O66" s="15">
        <v>0.05</v>
      </c>
      <c r="P66" s="16">
        <f t="shared" si="1"/>
        <v>3</v>
      </c>
      <c r="Q66" t="s">
        <v>251</v>
      </c>
      <c r="S66" s="9"/>
    </row>
    <row r="67" spans="1:19">
      <c r="A67" s="5">
        <v>46045</v>
      </c>
      <c r="B67" t="s">
        <v>40</v>
      </c>
      <c r="C67" t="s">
        <v>35</v>
      </c>
      <c r="D67" t="s">
        <v>244</v>
      </c>
      <c r="E67" t="s">
        <v>40</v>
      </c>
      <c r="F67" s="9">
        <v>60</v>
      </c>
      <c r="G67" s="11">
        <f t="shared" si="0"/>
        <v>49930</v>
      </c>
      <c r="H67" t="s">
        <v>36</v>
      </c>
      <c r="I67" t="s">
        <v>37</v>
      </c>
      <c r="J67" t="s">
        <v>38</v>
      </c>
      <c r="K67" t="s">
        <v>108</v>
      </c>
      <c r="L67" t="s">
        <v>270</v>
      </c>
      <c r="M67" t="s">
        <v>238</v>
      </c>
      <c r="N67" t="s">
        <v>240</v>
      </c>
      <c r="O67" s="15">
        <v>0.05</v>
      </c>
      <c r="P67" s="16">
        <f t="shared" si="1"/>
        <v>3</v>
      </c>
      <c r="Q67" t="s">
        <v>251</v>
      </c>
      <c r="S67" s="9"/>
    </row>
    <row r="68" spans="1:19">
      <c r="A68" s="5">
        <v>46045</v>
      </c>
      <c r="B68" t="s">
        <v>40</v>
      </c>
      <c r="C68" t="s">
        <v>35</v>
      </c>
      <c r="D68" t="s">
        <v>244</v>
      </c>
      <c r="E68" t="s">
        <v>40</v>
      </c>
      <c r="F68" s="9">
        <v>60</v>
      </c>
      <c r="G68" s="11">
        <f t="shared" si="0"/>
        <v>49990</v>
      </c>
      <c r="H68" t="s">
        <v>36</v>
      </c>
      <c r="I68" t="s">
        <v>37</v>
      </c>
      <c r="J68" t="s">
        <v>38</v>
      </c>
      <c r="K68" t="s">
        <v>109</v>
      </c>
      <c r="L68" t="s">
        <v>270</v>
      </c>
      <c r="M68" t="s">
        <v>238</v>
      </c>
      <c r="N68" t="s">
        <v>240</v>
      </c>
      <c r="O68" s="15">
        <v>0.05</v>
      </c>
      <c r="P68" s="16">
        <f t="shared" si="1"/>
        <v>3</v>
      </c>
      <c r="Q68" t="s">
        <v>251</v>
      </c>
      <c r="S68" s="9"/>
    </row>
    <row r="69" spans="1:19">
      <c r="A69" s="5">
        <v>46045</v>
      </c>
      <c r="B69" t="s">
        <v>40</v>
      </c>
      <c r="C69" t="s">
        <v>35</v>
      </c>
      <c r="D69" t="s">
        <v>244</v>
      </c>
      <c r="E69" t="s">
        <v>40</v>
      </c>
      <c r="F69" s="9">
        <v>60</v>
      </c>
      <c r="G69" s="11">
        <f t="shared" ref="G69:G76" si="2">(G68+F69)</f>
        <v>50050</v>
      </c>
      <c r="H69" t="s">
        <v>36</v>
      </c>
      <c r="I69" t="s">
        <v>37</v>
      </c>
      <c r="J69" t="s">
        <v>38</v>
      </c>
      <c r="K69" t="s">
        <v>110</v>
      </c>
      <c r="L69" t="s">
        <v>270</v>
      </c>
      <c r="M69" t="s">
        <v>238</v>
      </c>
      <c r="N69" t="s">
        <v>240</v>
      </c>
      <c r="O69" s="15">
        <v>0.05</v>
      </c>
      <c r="P69" s="16">
        <f t="shared" ref="P69:P139" si="3">(F69*O69)</f>
        <v>3</v>
      </c>
      <c r="Q69" t="s">
        <v>251</v>
      </c>
      <c r="S69" s="9"/>
    </row>
    <row r="70" spans="1:19">
      <c r="A70" s="5">
        <v>46045</v>
      </c>
      <c r="B70" t="s">
        <v>40</v>
      </c>
      <c r="C70" t="s">
        <v>35</v>
      </c>
      <c r="D70" t="s">
        <v>244</v>
      </c>
      <c r="E70" t="s">
        <v>40</v>
      </c>
      <c r="F70" s="9">
        <v>60</v>
      </c>
      <c r="G70" s="11">
        <f t="shared" si="2"/>
        <v>50110</v>
      </c>
      <c r="H70" t="s">
        <v>36</v>
      </c>
      <c r="I70" t="s">
        <v>37</v>
      </c>
      <c r="J70" t="s">
        <v>38</v>
      </c>
      <c r="K70" t="s">
        <v>111</v>
      </c>
      <c r="L70" t="s">
        <v>270</v>
      </c>
      <c r="M70" t="s">
        <v>238</v>
      </c>
      <c r="N70" t="s">
        <v>240</v>
      </c>
      <c r="O70" s="15">
        <v>0.05</v>
      </c>
      <c r="P70" s="16">
        <f t="shared" si="3"/>
        <v>3</v>
      </c>
      <c r="Q70" t="s">
        <v>251</v>
      </c>
      <c r="S70" s="9"/>
    </row>
    <row r="71" spans="1:19">
      <c r="A71" s="5">
        <v>46045</v>
      </c>
      <c r="B71" t="s">
        <v>40</v>
      </c>
      <c r="C71" t="s">
        <v>35</v>
      </c>
      <c r="D71" t="s">
        <v>244</v>
      </c>
      <c r="E71" t="s">
        <v>40</v>
      </c>
      <c r="F71" s="9">
        <v>60</v>
      </c>
      <c r="G71" s="11">
        <f t="shared" si="2"/>
        <v>50170</v>
      </c>
      <c r="H71" t="s">
        <v>36</v>
      </c>
      <c r="I71" t="s">
        <v>37</v>
      </c>
      <c r="J71" t="s">
        <v>38</v>
      </c>
      <c r="K71" t="s">
        <v>112</v>
      </c>
      <c r="L71" t="s">
        <v>270</v>
      </c>
      <c r="M71" t="s">
        <v>238</v>
      </c>
      <c r="N71" t="s">
        <v>240</v>
      </c>
      <c r="O71" s="15">
        <v>0.05</v>
      </c>
      <c r="P71" s="16">
        <f t="shared" si="3"/>
        <v>3</v>
      </c>
      <c r="Q71" t="s">
        <v>251</v>
      </c>
      <c r="S71" s="9"/>
    </row>
    <row r="72" spans="1:19">
      <c r="A72" s="5">
        <v>46045</v>
      </c>
      <c r="B72" t="s">
        <v>40</v>
      </c>
      <c r="C72" t="s">
        <v>35</v>
      </c>
      <c r="D72" t="s">
        <v>244</v>
      </c>
      <c r="E72" t="s">
        <v>40</v>
      </c>
      <c r="F72" s="9">
        <v>60</v>
      </c>
      <c r="G72" s="11">
        <f t="shared" si="2"/>
        <v>50230</v>
      </c>
      <c r="H72" t="s">
        <v>36</v>
      </c>
      <c r="I72" t="s">
        <v>37</v>
      </c>
      <c r="J72" t="s">
        <v>38</v>
      </c>
      <c r="K72" t="s">
        <v>113</v>
      </c>
      <c r="L72" t="s">
        <v>270</v>
      </c>
      <c r="M72" t="s">
        <v>238</v>
      </c>
      <c r="N72" t="s">
        <v>240</v>
      </c>
      <c r="O72" s="15">
        <v>0.05</v>
      </c>
      <c r="P72" s="16">
        <f t="shared" si="3"/>
        <v>3</v>
      </c>
      <c r="Q72" t="s">
        <v>251</v>
      </c>
      <c r="S72" s="9"/>
    </row>
    <row r="73" spans="1:19">
      <c r="A73" s="5">
        <v>46045</v>
      </c>
      <c r="B73" t="s">
        <v>40</v>
      </c>
      <c r="C73" t="s">
        <v>35</v>
      </c>
      <c r="D73" t="s">
        <v>244</v>
      </c>
      <c r="E73" t="s">
        <v>40</v>
      </c>
      <c r="F73" s="9">
        <v>60</v>
      </c>
      <c r="G73" s="11">
        <f t="shared" si="2"/>
        <v>50290</v>
      </c>
      <c r="H73" t="s">
        <v>36</v>
      </c>
      <c r="I73" t="s">
        <v>37</v>
      </c>
      <c r="J73" t="s">
        <v>38</v>
      </c>
      <c r="K73" t="s">
        <v>114</v>
      </c>
      <c r="L73" t="s">
        <v>270</v>
      </c>
      <c r="M73" t="s">
        <v>238</v>
      </c>
      <c r="N73" t="s">
        <v>240</v>
      </c>
      <c r="O73" s="15">
        <v>0.05</v>
      </c>
      <c r="P73" s="16">
        <f t="shared" si="3"/>
        <v>3</v>
      </c>
      <c r="Q73" t="s">
        <v>251</v>
      </c>
      <c r="S73" s="9"/>
    </row>
    <row r="74" spans="1:19">
      <c r="A74" s="5">
        <v>46045</v>
      </c>
      <c r="B74" t="s">
        <v>40</v>
      </c>
      <c r="C74" t="s">
        <v>35</v>
      </c>
      <c r="D74" t="s">
        <v>244</v>
      </c>
      <c r="E74" t="s">
        <v>40</v>
      </c>
      <c r="F74" s="9">
        <v>60</v>
      </c>
      <c r="G74" s="11">
        <f t="shared" si="2"/>
        <v>50350</v>
      </c>
      <c r="H74" t="s">
        <v>36</v>
      </c>
      <c r="I74" t="s">
        <v>37</v>
      </c>
      <c r="J74" t="s">
        <v>38</v>
      </c>
      <c r="K74" t="s">
        <v>115</v>
      </c>
      <c r="L74" t="s">
        <v>270</v>
      </c>
      <c r="M74" t="s">
        <v>238</v>
      </c>
      <c r="N74" t="s">
        <v>240</v>
      </c>
      <c r="O74" s="15">
        <v>0.05</v>
      </c>
      <c r="P74" s="16">
        <f t="shared" si="3"/>
        <v>3</v>
      </c>
      <c r="Q74" t="s">
        <v>251</v>
      </c>
      <c r="S74" s="9"/>
    </row>
    <row r="75" spans="1:19">
      <c r="A75" s="5">
        <v>46045</v>
      </c>
      <c r="B75" t="s">
        <v>40</v>
      </c>
      <c r="C75" t="s">
        <v>35</v>
      </c>
      <c r="D75" t="s">
        <v>244</v>
      </c>
      <c r="E75" t="s">
        <v>40</v>
      </c>
      <c r="F75" s="9">
        <v>60</v>
      </c>
      <c r="G75" s="11">
        <f t="shared" si="2"/>
        <v>50410</v>
      </c>
      <c r="H75" t="s">
        <v>36</v>
      </c>
      <c r="I75" t="s">
        <v>37</v>
      </c>
      <c r="J75" t="s">
        <v>38</v>
      </c>
      <c r="K75" t="s">
        <v>116</v>
      </c>
      <c r="L75" t="s">
        <v>270</v>
      </c>
      <c r="M75" t="s">
        <v>238</v>
      </c>
      <c r="N75" t="s">
        <v>241</v>
      </c>
      <c r="O75" s="15">
        <v>0.05</v>
      </c>
      <c r="P75" s="16">
        <f t="shared" si="3"/>
        <v>3</v>
      </c>
      <c r="Q75" t="s">
        <v>251</v>
      </c>
      <c r="S75" s="9"/>
    </row>
    <row r="76" spans="1:19">
      <c r="A76" s="5">
        <v>46045</v>
      </c>
      <c r="B76" t="s">
        <v>40</v>
      </c>
      <c r="C76" t="s">
        <v>35</v>
      </c>
      <c r="D76" t="s">
        <v>244</v>
      </c>
      <c r="E76" t="s">
        <v>40</v>
      </c>
      <c r="F76" s="9">
        <v>60</v>
      </c>
      <c r="G76" s="11">
        <f t="shared" si="2"/>
        <v>50470</v>
      </c>
      <c r="H76" t="s">
        <v>36</v>
      </c>
      <c r="I76" t="s">
        <v>37</v>
      </c>
      <c r="J76" t="s">
        <v>38</v>
      </c>
      <c r="K76" t="s">
        <v>117</v>
      </c>
      <c r="L76" t="s">
        <v>270</v>
      </c>
      <c r="M76" t="s">
        <v>238</v>
      </c>
      <c r="N76" t="s">
        <v>241</v>
      </c>
      <c r="O76" s="15">
        <v>0.05</v>
      </c>
      <c r="P76" s="16">
        <f t="shared" si="3"/>
        <v>3</v>
      </c>
      <c r="Q76" t="s">
        <v>251</v>
      </c>
      <c r="S76" s="9"/>
    </row>
    <row r="77" spans="1:19">
      <c r="A77" s="5">
        <v>46045</v>
      </c>
      <c r="B77" t="s">
        <v>40</v>
      </c>
      <c r="C77" t="s">
        <v>35</v>
      </c>
      <c r="D77" t="s">
        <v>244</v>
      </c>
      <c r="E77" t="s">
        <v>40</v>
      </c>
      <c r="F77" s="9">
        <v>60</v>
      </c>
      <c r="G77" s="11">
        <f>(G76+F77)</f>
        <v>50530</v>
      </c>
      <c r="H77" t="s">
        <v>36</v>
      </c>
      <c r="I77" t="s">
        <v>37</v>
      </c>
      <c r="J77" t="s">
        <v>38</v>
      </c>
      <c r="K77" t="s">
        <v>118</v>
      </c>
      <c r="L77" t="s">
        <v>270</v>
      </c>
      <c r="M77" t="s">
        <v>238</v>
      </c>
      <c r="N77" t="s">
        <v>241</v>
      </c>
      <c r="O77" s="15">
        <v>0.05</v>
      </c>
      <c r="P77" s="16">
        <f t="shared" si="3"/>
        <v>3</v>
      </c>
      <c r="Q77" t="s">
        <v>251</v>
      </c>
      <c r="S77" s="9"/>
    </row>
    <row r="78" spans="1:19">
      <c r="A78" s="5">
        <v>46046</v>
      </c>
      <c r="B78" t="s">
        <v>51</v>
      </c>
      <c r="C78" t="s">
        <v>30</v>
      </c>
      <c r="D78" t="s">
        <v>280</v>
      </c>
      <c r="E78" t="s">
        <v>239</v>
      </c>
      <c r="F78" s="9">
        <v>-120</v>
      </c>
      <c r="G78" s="11">
        <f t="shared" ref="G78" si="4">(G77+F78)</f>
        <v>50410</v>
      </c>
      <c r="H78" t="s">
        <v>54</v>
      </c>
      <c r="I78" t="s">
        <v>37</v>
      </c>
      <c r="J78" t="s">
        <v>38</v>
      </c>
      <c r="O78" s="15"/>
      <c r="P78" s="16"/>
      <c r="S78" s="9"/>
    </row>
    <row r="79" spans="1:19">
      <c r="A79" s="5">
        <v>46047</v>
      </c>
      <c r="B79" t="s">
        <v>51</v>
      </c>
      <c r="C79" t="s">
        <v>30</v>
      </c>
      <c r="D79" t="s">
        <v>280</v>
      </c>
      <c r="E79" t="s">
        <v>241</v>
      </c>
      <c r="F79" s="9">
        <v>-180</v>
      </c>
      <c r="G79" s="11">
        <f>(G78+F79)</f>
        <v>50230</v>
      </c>
      <c r="H79" t="s">
        <v>54</v>
      </c>
      <c r="I79" t="s">
        <v>37</v>
      </c>
      <c r="J79" t="s">
        <v>38</v>
      </c>
      <c r="O79" s="15"/>
      <c r="P79" s="16"/>
      <c r="S79" s="9"/>
    </row>
    <row r="80" spans="1:19">
      <c r="A80" s="5">
        <v>46055</v>
      </c>
      <c r="B80" t="s">
        <v>40</v>
      </c>
      <c r="C80" t="s">
        <v>35</v>
      </c>
      <c r="D80" t="s">
        <v>244</v>
      </c>
      <c r="E80" t="s">
        <v>40</v>
      </c>
      <c r="F80" s="9">
        <v>60</v>
      </c>
      <c r="G80" s="11">
        <f t="shared" ref="G80:G148" si="5">(G79+F80)</f>
        <v>50290</v>
      </c>
      <c r="H80" t="s">
        <v>36</v>
      </c>
      <c r="I80" t="s">
        <v>41</v>
      </c>
      <c r="J80" t="s">
        <v>38</v>
      </c>
      <c r="K80" t="s">
        <v>119</v>
      </c>
      <c r="L80" t="s">
        <v>270</v>
      </c>
      <c r="M80" t="s">
        <v>238</v>
      </c>
      <c r="N80" t="s">
        <v>241</v>
      </c>
      <c r="O80" s="15">
        <v>0.05</v>
      </c>
      <c r="P80" s="16">
        <f t="shared" si="3"/>
        <v>3</v>
      </c>
      <c r="Q80" t="s">
        <v>251</v>
      </c>
      <c r="S80" s="9"/>
    </row>
    <row r="81" spans="1:19">
      <c r="A81" s="5">
        <v>46056</v>
      </c>
      <c r="B81" t="s">
        <v>40</v>
      </c>
      <c r="C81" t="s">
        <v>35</v>
      </c>
      <c r="D81" t="s">
        <v>244</v>
      </c>
      <c r="E81" t="s">
        <v>40</v>
      </c>
      <c r="F81" s="9">
        <v>30</v>
      </c>
      <c r="G81" s="11">
        <f t="shared" si="5"/>
        <v>50320</v>
      </c>
      <c r="H81" t="s">
        <v>36</v>
      </c>
      <c r="I81" t="s">
        <v>37</v>
      </c>
      <c r="J81" t="s">
        <v>38</v>
      </c>
      <c r="K81" t="s">
        <v>120</v>
      </c>
      <c r="L81" t="s">
        <v>270</v>
      </c>
      <c r="M81" t="s">
        <v>238</v>
      </c>
      <c r="N81" t="s">
        <v>239</v>
      </c>
      <c r="O81" s="15">
        <v>0.05</v>
      </c>
      <c r="P81" s="16">
        <f t="shared" si="3"/>
        <v>1.5</v>
      </c>
      <c r="Q81" t="s">
        <v>251</v>
      </c>
      <c r="S81" s="9"/>
    </row>
    <row r="82" spans="1:19">
      <c r="A82" s="5">
        <v>46057</v>
      </c>
      <c r="B82" t="s">
        <v>40</v>
      </c>
      <c r="C82" t="s">
        <v>35</v>
      </c>
      <c r="D82" t="s">
        <v>244</v>
      </c>
      <c r="E82" t="s">
        <v>40</v>
      </c>
      <c r="F82" s="9">
        <v>30</v>
      </c>
      <c r="G82" s="11">
        <f t="shared" si="5"/>
        <v>50350</v>
      </c>
      <c r="H82" t="s">
        <v>36</v>
      </c>
      <c r="I82" t="s">
        <v>37</v>
      </c>
      <c r="J82" t="s">
        <v>38</v>
      </c>
      <c r="K82" t="s">
        <v>121</v>
      </c>
      <c r="L82" t="s">
        <v>270</v>
      </c>
      <c r="M82" t="s">
        <v>238</v>
      </c>
      <c r="N82" t="s">
        <v>239</v>
      </c>
      <c r="O82" s="15">
        <v>0.05</v>
      </c>
      <c r="P82" s="16">
        <f t="shared" si="3"/>
        <v>1.5</v>
      </c>
      <c r="Q82" t="s">
        <v>251</v>
      </c>
      <c r="S82" s="9"/>
    </row>
    <row r="83" spans="1:19">
      <c r="A83" s="5">
        <v>46058</v>
      </c>
      <c r="B83" t="s">
        <v>40</v>
      </c>
      <c r="C83" t="s">
        <v>35</v>
      </c>
      <c r="D83" t="s">
        <v>244</v>
      </c>
      <c r="E83" t="s">
        <v>40</v>
      </c>
      <c r="F83" s="9">
        <v>60</v>
      </c>
      <c r="G83" s="11">
        <f t="shared" si="5"/>
        <v>50410</v>
      </c>
      <c r="H83" t="s">
        <v>36</v>
      </c>
      <c r="I83" t="s">
        <v>37</v>
      </c>
      <c r="J83" t="s">
        <v>38</v>
      </c>
      <c r="K83" t="s">
        <v>122</v>
      </c>
      <c r="L83" t="s">
        <v>270</v>
      </c>
      <c r="M83" t="s">
        <v>238</v>
      </c>
      <c r="N83" t="s">
        <v>239</v>
      </c>
      <c r="O83" s="15">
        <v>0.05</v>
      </c>
      <c r="P83" s="16">
        <f t="shared" si="3"/>
        <v>3</v>
      </c>
      <c r="Q83" t="s">
        <v>251</v>
      </c>
      <c r="S83" s="9"/>
    </row>
    <row r="84" spans="1:19">
      <c r="A84" s="5">
        <v>46059</v>
      </c>
      <c r="B84" t="s">
        <v>40</v>
      </c>
      <c r="C84" t="s">
        <v>35</v>
      </c>
      <c r="D84" t="s">
        <v>242</v>
      </c>
      <c r="E84" t="s">
        <v>40</v>
      </c>
      <c r="F84" s="9">
        <v>60</v>
      </c>
      <c r="G84" s="11">
        <f t="shared" si="5"/>
        <v>50470</v>
      </c>
      <c r="H84" t="s">
        <v>36</v>
      </c>
      <c r="I84" t="s">
        <v>37</v>
      </c>
      <c r="J84" t="s">
        <v>38</v>
      </c>
      <c r="K84" t="s">
        <v>123</v>
      </c>
      <c r="L84" t="s">
        <v>269</v>
      </c>
      <c r="M84" t="s">
        <v>238</v>
      </c>
      <c r="N84" t="s">
        <v>239</v>
      </c>
      <c r="O84" s="15">
        <v>0.05</v>
      </c>
      <c r="P84" s="16">
        <f t="shared" si="3"/>
        <v>3</v>
      </c>
      <c r="Q84" t="s">
        <v>251</v>
      </c>
      <c r="S84" s="9"/>
    </row>
    <row r="85" spans="1:19">
      <c r="A85" s="5">
        <v>46060</v>
      </c>
      <c r="B85" t="s">
        <v>40</v>
      </c>
      <c r="C85" t="s">
        <v>35</v>
      </c>
      <c r="D85" t="s">
        <v>242</v>
      </c>
      <c r="E85" t="s">
        <v>40</v>
      </c>
      <c r="F85" s="9">
        <v>60</v>
      </c>
      <c r="G85" s="11">
        <f t="shared" si="5"/>
        <v>50530</v>
      </c>
      <c r="H85" t="s">
        <v>36</v>
      </c>
      <c r="I85" t="s">
        <v>37</v>
      </c>
      <c r="J85" t="s">
        <v>38</v>
      </c>
      <c r="K85" t="s">
        <v>124</v>
      </c>
      <c r="L85" t="s">
        <v>270</v>
      </c>
      <c r="M85" t="s">
        <v>238</v>
      </c>
      <c r="N85" t="s">
        <v>239</v>
      </c>
      <c r="O85" s="15">
        <v>0.05</v>
      </c>
      <c r="P85" s="16">
        <f t="shared" si="3"/>
        <v>3</v>
      </c>
      <c r="Q85" t="s">
        <v>251</v>
      </c>
      <c r="S85" s="9"/>
    </row>
    <row r="86" spans="1:19">
      <c r="A86" s="5">
        <v>46061</v>
      </c>
      <c r="B86" t="s">
        <v>40</v>
      </c>
      <c r="C86" t="s">
        <v>35</v>
      </c>
      <c r="D86" t="s">
        <v>242</v>
      </c>
      <c r="E86" t="s">
        <v>40</v>
      </c>
      <c r="F86" s="9">
        <v>60</v>
      </c>
      <c r="G86" s="11">
        <f t="shared" si="5"/>
        <v>50590</v>
      </c>
      <c r="H86" t="s">
        <v>36</v>
      </c>
      <c r="I86" t="s">
        <v>37</v>
      </c>
      <c r="J86" t="s">
        <v>38</v>
      </c>
      <c r="K86" t="s">
        <v>125</v>
      </c>
      <c r="L86" t="s">
        <v>270</v>
      </c>
      <c r="M86" t="s">
        <v>238</v>
      </c>
      <c r="N86" t="s">
        <v>239</v>
      </c>
      <c r="O86" s="15">
        <v>0.05</v>
      </c>
      <c r="P86" s="16">
        <f t="shared" si="3"/>
        <v>3</v>
      </c>
      <c r="Q86" t="s">
        <v>251</v>
      </c>
      <c r="S86" s="9"/>
    </row>
    <row r="87" spans="1:19">
      <c r="A87" s="5">
        <v>46062</v>
      </c>
      <c r="B87" t="s">
        <v>40</v>
      </c>
      <c r="C87" t="s">
        <v>35</v>
      </c>
      <c r="D87" t="s">
        <v>242</v>
      </c>
      <c r="E87" t="s">
        <v>40</v>
      </c>
      <c r="F87" s="9">
        <v>30</v>
      </c>
      <c r="G87" s="11">
        <f t="shared" si="5"/>
        <v>50620</v>
      </c>
      <c r="H87" t="s">
        <v>36</v>
      </c>
      <c r="I87" t="s">
        <v>37</v>
      </c>
      <c r="J87" t="s">
        <v>38</v>
      </c>
      <c r="K87" t="s">
        <v>126</v>
      </c>
      <c r="L87" t="s">
        <v>270</v>
      </c>
      <c r="M87" t="s">
        <v>238</v>
      </c>
      <c r="N87" t="s">
        <v>239</v>
      </c>
      <c r="O87" s="15">
        <v>0.05</v>
      </c>
      <c r="P87" s="16">
        <f t="shared" si="3"/>
        <v>1.5</v>
      </c>
      <c r="Q87" t="s">
        <v>251</v>
      </c>
      <c r="S87" s="9"/>
    </row>
    <row r="88" spans="1:19">
      <c r="A88" s="5">
        <v>46063</v>
      </c>
      <c r="B88" t="s">
        <v>40</v>
      </c>
      <c r="C88" t="s">
        <v>35</v>
      </c>
      <c r="D88" t="s">
        <v>242</v>
      </c>
      <c r="E88" t="s">
        <v>40</v>
      </c>
      <c r="F88" s="9">
        <v>30</v>
      </c>
      <c r="G88" s="11">
        <f t="shared" si="5"/>
        <v>50650</v>
      </c>
      <c r="H88" t="s">
        <v>36</v>
      </c>
      <c r="I88" t="s">
        <v>37</v>
      </c>
      <c r="J88" t="s">
        <v>38</v>
      </c>
      <c r="K88" t="s">
        <v>127</v>
      </c>
      <c r="L88" t="s">
        <v>270</v>
      </c>
      <c r="M88" t="s">
        <v>238</v>
      </c>
      <c r="N88" t="s">
        <v>239</v>
      </c>
      <c r="O88" s="15">
        <v>0.05</v>
      </c>
      <c r="P88" s="16">
        <f t="shared" si="3"/>
        <v>1.5</v>
      </c>
      <c r="Q88" t="s">
        <v>251</v>
      </c>
      <c r="S88" s="9"/>
    </row>
    <row r="89" spans="1:19">
      <c r="A89" s="5">
        <v>46064</v>
      </c>
      <c r="B89" t="s">
        <v>40</v>
      </c>
      <c r="C89" t="s">
        <v>35</v>
      </c>
      <c r="D89" t="s">
        <v>242</v>
      </c>
      <c r="E89" t="s">
        <v>40</v>
      </c>
      <c r="F89" s="9">
        <v>30</v>
      </c>
      <c r="G89" s="11">
        <f t="shared" si="5"/>
        <v>50680</v>
      </c>
      <c r="H89" t="s">
        <v>36</v>
      </c>
      <c r="I89" t="s">
        <v>37</v>
      </c>
      <c r="J89" t="s">
        <v>38</v>
      </c>
      <c r="K89" t="s">
        <v>128</v>
      </c>
      <c r="L89" t="s">
        <v>270</v>
      </c>
      <c r="M89" t="s">
        <v>238</v>
      </c>
      <c r="N89" t="s">
        <v>239</v>
      </c>
      <c r="O89" s="15">
        <v>0.05</v>
      </c>
      <c r="P89" s="16">
        <f t="shared" si="3"/>
        <v>1.5</v>
      </c>
      <c r="Q89" t="s">
        <v>251</v>
      </c>
      <c r="S89" s="9"/>
    </row>
    <row r="90" spans="1:19">
      <c r="A90" s="5">
        <v>46065</v>
      </c>
      <c r="B90" t="s">
        <v>40</v>
      </c>
      <c r="C90" t="s">
        <v>35</v>
      </c>
      <c r="D90" t="s">
        <v>242</v>
      </c>
      <c r="E90" t="s">
        <v>40</v>
      </c>
      <c r="F90" s="9">
        <v>30</v>
      </c>
      <c r="G90" s="11">
        <f t="shared" si="5"/>
        <v>50710</v>
      </c>
      <c r="H90" t="s">
        <v>36</v>
      </c>
      <c r="I90" t="s">
        <v>37</v>
      </c>
      <c r="J90" t="s">
        <v>38</v>
      </c>
      <c r="K90" t="s">
        <v>129</v>
      </c>
      <c r="L90" t="s">
        <v>270</v>
      </c>
      <c r="M90" t="s">
        <v>238</v>
      </c>
      <c r="N90" t="s">
        <v>239</v>
      </c>
      <c r="O90" s="15">
        <v>0.05</v>
      </c>
      <c r="P90" s="16">
        <f t="shared" si="3"/>
        <v>1.5</v>
      </c>
      <c r="Q90" t="s">
        <v>251</v>
      </c>
      <c r="S90" s="9"/>
    </row>
    <row r="91" spans="1:19">
      <c r="A91" s="5">
        <v>46066</v>
      </c>
      <c r="B91" t="s">
        <v>40</v>
      </c>
      <c r="C91" t="s">
        <v>35</v>
      </c>
      <c r="D91" t="s">
        <v>242</v>
      </c>
      <c r="E91" t="s">
        <v>40</v>
      </c>
      <c r="F91" s="9">
        <v>30</v>
      </c>
      <c r="G91" s="11">
        <f t="shared" si="5"/>
        <v>50740</v>
      </c>
      <c r="H91" t="s">
        <v>36</v>
      </c>
      <c r="I91" t="s">
        <v>37</v>
      </c>
      <c r="J91" t="s">
        <v>38</v>
      </c>
      <c r="K91" t="s">
        <v>130</v>
      </c>
      <c r="L91" t="s">
        <v>270</v>
      </c>
      <c r="M91" t="s">
        <v>238</v>
      </c>
      <c r="N91" t="s">
        <v>241</v>
      </c>
      <c r="O91" s="15">
        <v>0.05</v>
      </c>
      <c r="P91" s="16">
        <f t="shared" si="3"/>
        <v>1.5</v>
      </c>
      <c r="Q91" t="s">
        <v>251</v>
      </c>
      <c r="S91" s="9"/>
    </row>
    <row r="92" spans="1:19">
      <c r="A92" s="5">
        <v>46067</v>
      </c>
      <c r="B92" t="s">
        <v>40</v>
      </c>
      <c r="C92" t="s">
        <v>35</v>
      </c>
      <c r="D92" t="s">
        <v>242</v>
      </c>
      <c r="E92" t="s">
        <v>40</v>
      </c>
      <c r="F92" s="9">
        <v>30</v>
      </c>
      <c r="G92" s="11">
        <f t="shared" si="5"/>
        <v>50770</v>
      </c>
      <c r="H92" t="s">
        <v>36</v>
      </c>
      <c r="I92" t="s">
        <v>37</v>
      </c>
      <c r="J92" t="s">
        <v>38</v>
      </c>
      <c r="K92" t="s">
        <v>131</v>
      </c>
      <c r="L92" t="s">
        <v>270</v>
      </c>
      <c r="M92" t="s">
        <v>238</v>
      </c>
      <c r="N92" t="s">
        <v>241</v>
      </c>
      <c r="O92" s="15">
        <v>0.05</v>
      </c>
      <c r="P92" s="16">
        <f t="shared" si="3"/>
        <v>1.5</v>
      </c>
      <c r="Q92" t="s">
        <v>251</v>
      </c>
      <c r="S92" s="9"/>
    </row>
    <row r="93" spans="1:19">
      <c r="A93" s="5">
        <v>46068</v>
      </c>
      <c r="B93" t="s">
        <v>40</v>
      </c>
      <c r="C93" t="s">
        <v>35</v>
      </c>
      <c r="D93" t="s">
        <v>242</v>
      </c>
      <c r="E93" t="s">
        <v>40</v>
      </c>
      <c r="F93" s="9">
        <v>30</v>
      </c>
      <c r="G93" s="11">
        <f t="shared" si="5"/>
        <v>50800</v>
      </c>
      <c r="H93" t="s">
        <v>36</v>
      </c>
      <c r="I93" t="s">
        <v>37</v>
      </c>
      <c r="J93" t="s">
        <v>38</v>
      </c>
      <c r="K93" t="s">
        <v>132</v>
      </c>
      <c r="L93" t="s">
        <v>270</v>
      </c>
      <c r="M93" t="s">
        <v>238</v>
      </c>
      <c r="N93" t="s">
        <v>241</v>
      </c>
      <c r="O93" s="15">
        <v>0.05</v>
      </c>
      <c r="P93" s="16">
        <f t="shared" si="3"/>
        <v>1.5</v>
      </c>
      <c r="Q93" t="s">
        <v>251</v>
      </c>
      <c r="S93" s="9"/>
    </row>
    <row r="94" spans="1:19">
      <c r="A94" s="5">
        <v>46069</v>
      </c>
      <c r="B94" t="s">
        <v>51</v>
      </c>
      <c r="C94" t="s">
        <v>30</v>
      </c>
      <c r="D94" t="s">
        <v>280</v>
      </c>
      <c r="E94" t="s">
        <v>53</v>
      </c>
      <c r="F94" s="9">
        <v>-100</v>
      </c>
      <c r="G94" s="11">
        <f t="shared" si="5"/>
        <v>50700</v>
      </c>
      <c r="H94" t="s">
        <v>54</v>
      </c>
      <c r="I94" t="s">
        <v>37</v>
      </c>
      <c r="J94" t="s">
        <v>38</v>
      </c>
      <c r="K94" t="s">
        <v>133</v>
      </c>
      <c r="L94" t="s">
        <v>269</v>
      </c>
      <c r="M94" t="s">
        <v>238</v>
      </c>
      <c r="N94" t="s">
        <v>241</v>
      </c>
      <c r="O94" s="15">
        <v>0</v>
      </c>
      <c r="P94" s="16">
        <f t="shared" si="3"/>
        <v>0</v>
      </c>
      <c r="Q94" t="s">
        <v>251</v>
      </c>
    </row>
    <row r="95" spans="1:19">
      <c r="A95" s="5">
        <v>46070</v>
      </c>
      <c r="B95" t="s">
        <v>40</v>
      </c>
      <c r="C95" t="s">
        <v>35</v>
      </c>
      <c r="D95" t="s">
        <v>242</v>
      </c>
      <c r="E95" t="s">
        <v>40</v>
      </c>
      <c r="F95" s="9">
        <v>30</v>
      </c>
      <c r="G95" s="11">
        <f t="shared" si="5"/>
        <v>50730</v>
      </c>
      <c r="H95" t="s">
        <v>36</v>
      </c>
      <c r="I95" t="s">
        <v>37</v>
      </c>
      <c r="J95" t="s">
        <v>38</v>
      </c>
      <c r="K95" t="s">
        <v>134</v>
      </c>
      <c r="L95" t="s">
        <v>270</v>
      </c>
      <c r="M95" t="s">
        <v>238</v>
      </c>
      <c r="N95" t="s">
        <v>241</v>
      </c>
      <c r="O95" s="15">
        <v>0.05</v>
      </c>
      <c r="P95" s="16">
        <f t="shared" si="3"/>
        <v>1.5</v>
      </c>
      <c r="Q95" t="s">
        <v>251</v>
      </c>
      <c r="S95" s="9"/>
    </row>
    <row r="96" spans="1:19">
      <c r="A96" s="5">
        <v>46071</v>
      </c>
      <c r="B96" t="s">
        <v>40</v>
      </c>
      <c r="C96" t="s">
        <v>35</v>
      </c>
      <c r="D96" t="s">
        <v>242</v>
      </c>
      <c r="E96" t="s">
        <v>40</v>
      </c>
      <c r="F96" s="9">
        <v>30</v>
      </c>
      <c r="G96" s="11">
        <f t="shared" si="5"/>
        <v>50760</v>
      </c>
      <c r="H96" t="s">
        <v>36</v>
      </c>
      <c r="I96" t="s">
        <v>37</v>
      </c>
      <c r="J96" t="s">
        <v>38</v>
      </c>
      <c r="K96" t="s">
        <v>135</v>
      </c>
      <c r="L96" t="s">
        <v>270</v>
      </c>
      <c r="M96" t="s">
        <v>238</v>
      </c>
      <c r="N96" t="s">
        <v>241</v>
      </c>
      <c r="O96" s="15">
        <v>0.05</v>
      </c>
      <c r="P96" s="16">
        <f t="shared" si="3"/>
        <v>1.5</v>
      </c>
      <c r="Q96" t="s">
        <v>251</v>
      </c>
      <c r="S96" s="9"/>
    </row>
    <row r="97" spans="1:19">
      <c r="A97" s="5">
        <v>46072</v>
      </c>
      <c r="B97" t="s">
        <v>40</v>
      </c>
      <c r="C97" t="s">
        <v>35</v>
      </c>
      <c r="D97" t="s">
        <v>242</v>
      </c>
      <c r="E97" t="s">
        <v>40</v>
      </c>
      <c r="F97" s="9">
        <v>30</v>
      </c>
      <c r="G97" s="11">
        <f t="shared" si="5"/>
        <v>50790</v>
      </c>
      <c r="H97" t="s">
        <v>36</v>
      </c>
      <c r="I97" t="s">
        <v>37</v>
      </c>
      <c r="J97" t="s">
        <v>38</v>
      </c>
      <c r="K97" t="s">
        <v>136</v>
      </c>
      <c r="L97" t="s">
        <v>270</v>
      </c>
      <c r="M97" t="s">
        <v>238</v>
      </c>
      <c r="N97" t="s">
        <v>241</v>
      </c>
      <c r="O97" s="15">
        <v>0.05</v>
      </c>
      <c r="P97" s="16">
        <f t="shared" si="3"/>
        <v>1.5</v>
      </c>
      <c r="Q97" t="s">
        <v>251</v>
      </c>
      <c r="S97" s="9"/>
    </row>
    <row r="98" spans="1:19">
      <c r="A98" s="5">
        <v>46073</v>
      </c>
      <c r="B98" t="s">
        <v>40</v>
      </c>
      <c r="C98" t="s">
        <v>35</v>
      </c>
      <c r="D98" t="s">
        <v>242</v>
      </c>
      <c r="E98" t="s">
        <v>40</v>
      </c>
      <c r="F98" s="9">
        <v>30</v>
      </c>
      <c r="G98" s="11">
        <f t="shared" si="5"/>
        <v>50820</v>
      </c>
      <c r="H98" t="s">
        <v>36</v>
      </c>
      <c r="I98" t="s">
        <v>37</v>
      </c>
      <c r="J98" t="s">
        <v>38</v>
      </c>
      <c r="K98" t="s">
        <v>137</v>
      </c>
      <c r="L98" t="s">
        <v>270</v>
      </c>
      <c r="M98" t="s">
        <v>238</v>
      </c>
      <c r="N98" t="s">
        <v>240</v>
      </c>
      <c r="O98" s="15">
        <v>0.05</v>
      </c>
      <c r="P98" s="16">
        <f t="shared" si="3"/>
        <v>1.5</v>
      </c>
      <c r="Q98" t="s">
        <v>251</v>
      </c>
      <c r="S98" s="9"/>
    </row>
    <row r="99" spans="1:19">
      <c r="A99" s="5">
        <v>46074</v>
      </c>
      <c r="B99" t="s">
        <v>40</v>
      </c>
      <c r="C99" t="s">
        <v>35</v>
      </c>
      <c r="D99" t="s">
        <v>242</v>
      </c>
      <c r="E99" t="s">
        <v>40</v>
      </c>
      <c r="F99" s="9">
        <v>30</v>
      </c>
      <c r="G99" s="11">
        <f t="shared" si="5"/>
        <v>50850</v>
      </c>
      <c r="H99" t="s">
        <v>36</v>
      </c>
      <c r="I99" t="s">
        <v>37</v>
      </c>
      <c r="J99" t="s">
        <v>38</v>
      </c>
      <c r="K99" t="s">
        <v>138</v>
      </c>
      <c r="L99" t="s">
        <v>270</v>
      </c>
      <c r="M99" t="s">
        <v>238</v>
      </c>
      <c r="N99" t="s">
        <v>240</v>
      </c>
      <c r="O99" s="15">
        <v>0.05</v>
      </c>
      <c r="P99" s="16">
        <f t="shared" si="3"/>
        <v>1.5</v>
      </c>
      <c r="Q99" t="s">
        <v>251</v>
      </c>
      <c r="S99" s="9"/>
    </row>
    <row r="100" spans="1:19">
      <c r="A100" s="5">
        <v>46075</v>
      </c>
      <c r="B100" t="s">
        <v>40</v>
      </c>
      <c r="C100" t="s">
        <v>35</v>
      </c>
      <c r="D100" t="s">
        <v>242</v>
      </c>
      <c r="E100" t="s">
        <v>40</v>
      </c>
      <c r="F100" s="9">
        <v>30</v>
      </c>
      <c r="G100" s="11">
        <f t="shared" si="5"/>
        <v>50880</v>
      </c>
      <c r="H100" t="s">
        <v>36</v>
      </c>
      <c r="I100" t="s">
        <v>37</v>
      </c>
      <c r="J100" t="s">
        <v>38</v>
      </c>
      <c r="K100" t="s">
        <v>139</v>
      </c>
      <c r="L100" t="s">
        <v>270</v>
      </c>
      <c r="M100" t="s">
        <v>238</v>
      </c>
      <c r="N100" t="s">
        <v>240</v>
      </c>
      <c r="O100" s="15">
        <v>0.05</v>
      </c>
      <c r="P100" s="16">
        <f t="shared" si="3"/>
        <v>1.5</v>
      </c>
      <c r="Q100" t="s">
        <v>251</v>
      </c>
      <c r="S100" s="9"/>
    </row>
    <row r="101" spans="1:19">
      <c r="A101" s="5">
        <v>46076</v>
      </c>
      <c r="B101" t="s">
        <v>40</v>
      </c>
      <c r="C101" t="s">
        <v>35</v>
      </c>
      <c r="D101" t="s">
        <v>242</v>
      </c>
      <c r="E101" t="s">
        <v>40</v>
      </c>
      <c r="F101" s="9">
        <v>30</v>
      </c>
      <c r="G101" s="11">
        <f t="shared" si="5"/>
        <v>50910</v>
      </c>
      <c r="H101" t="s">
        <v>36</v>
      </c>
      <c r="I101" t="s">
        <v>37</v>
      </c>
      <c r="J101" t="s">
        <v>38</v>
      </c>
      <c r="K101" t="s">
        <v>140</v>
      </c>
      <c r="L101" t="s">
        <v>270</v>
      </c>
      <c r="M101" t="s">
        <v>238</v>
      </c>
      <c r="N101" t="s">
        <v>240</v>
      </c>
      <c r="O101" s="15">
        <v>0.05</v>
      </c>
      <c r="P101" s="16">
        <f t="shared" si="3"/>
        <v>1.5</v>
      </c>
      <c r="Q101" t="s">
        <v>251</v>
      </c>
      <c r="S101" s="9"/>
    </row>
    <row r="102" spans="1:19">
      <c r="A102" s="5">
        <v>46077</v>
      </c>
      <c r="B102" t="s">
        <v>40</v>
      </c>
      <c r="C102" t="s">
        <v>35</v>
      </c>
      <c r="D102" t="s">
        <v>242</v>
      </c>
      <c r="E102" t="s">
        <v>40</v>
      </c>
      <c r="F102" s="9">
        <v>30</v>
      </c>
      <c r="G102" s="11">
        <f t="shared" si="5"/>
        <v>50940</v>
      </c>
      <c r="H102" t="s">
        <v>36</v>
      </c>
      <c r="I102" t="s">
        <v>37</v>
      </c>
      <c r="J102" t="s">
        <v>38</v>
      </c>
      <c r="K102" t="s">
        <v>141</v>
      </c>
      <c r="L102" t="s">
        <v>270</v>
      </c>
      <c r="M102" t="s">
        <v>238</v>
      </c>
      <c r="N102" t="s">
        <v>240</v>
      </c>
      <c r="O102" s="15">
        <v>0.05</v>
      </c>
      <c r="P102" s="16">
        <f t="shared" si="3"/>
        <v>1.5</v>
      </c>
      <c r="Q102" t="s">
        <v>251</v>
      </c>
      <c r="S102" s="9"/>
    </row>
    <row r="103" spans="1:19">
      <c r="A103" s="5">
        <v>46078</v>
      </c>
      <c r="B103" t="s">
        <v>40</v>
      </c>
      <c r="C103" t="s">
        <v>35</v>
      </c>
      <c r="D103" t="s">
        <v>242</v>
      </c>
      <c r="E103" t="s">
        <v>40</v>
      </c>
      <c r="F103" s="9">
        <v>30</v>
      </c>
      <c r="G103" s="11">
        <f>(G102+F103)</f>
        <v>50970</v>
      </c>
      <c r="H103" t="s">
        <v>36</v>
      </c>
      <c r="I103" t="s">
        <v>37</v>
      </c>
      <c r="J103" t="s">
        <v>38</v>
      </c>
      <c r="K103" t="s">
        <v>142</v>
      </c>
      <c r="L103" t="s">
        <v>270</v>
      </c>
      <c r="M103" t="s">
        <v>238</v>
      </c>
      <c r="N103" t="s">
        <v>240</v>
      </c>
      <c r="O103" s="15">
        <v>0.05</v>
      </c>
      <c r="P103" s="16">
        <f t="shared" si="3"/>
        <v>1.5</v>
      </c>
      <c r="Q103" t="s">
        <v>251</v>
      </c>
      <c r="S103" s="9"/>
    </row>
    <row r="104" spans="1:19">
      <c r="A104" s="5">
        <v>46078</v>
      </c>
      <c r="B104" t="s">
        <v>51</v>
      </c>
      <c r="C104" t="s">
        <v>30</v>
      </c>
      <c r="D104" t="s">
        <v>280</v>
      </c>
      <c r="E104" t="s">
        <v>239</v>
      </c>
      <c r="F104" s="9">
        <v>-120</v>
      </c>
      <c r="G104" s="11">
        <f>(G103+F104)</f>
        <v>50850</v>
      </c>
      <c r="H104" t="s">
        <v>54</v>
      </c>
      <c r="I104" t="s">
        <v>37</v>
      </c>
      <c r="J104" t="s">
        <v>38</v>
      </c>
      <c r="O104" s="15"/>
      <c r="P104" s="16"/>
      <c r="S104" s="9"/>
    </row>
    <row r="105" spans="1:19">
      <c r="A105" s="5">
        <v>46078</v>
      </c>
      <c r="B105" t="s">
        <v>51</v>
      </c>
      <c r="C105" t="s">
        <v>30</v>
      </c>
      <c r="D105" t="s">
        <v>280</v>
      </c>
      <c r="E105" t="s">
        <v>241</v>
      </c>
      <c r="F105" s="9">
        <v>-180</v>
      </c>
      <c r="G105" s="11">
        <f>(G104+F105)</f>
        <v>50670</v>
      </c>
      <c r="H105" t="s">
        <v>54</v>
      </c>
      <c r="I105" t="s">
        <v>37</v>
      </c>
      <c r="J105" t="s">
        <v>38</v>
      </c>
      <c r="O105" s="15"/>
      <c r="P105" s="16"/>
      <c r="S105" s="9"/>
    </row>
    <row r="106" spans="1:19">
      <c r="A106" s="5">
        <v>46079</v>
      </c>
      <c r="B106" t="s">
        <v>40</v>
      </c>
      <c r="C106" t="s">
        <v>35</v>
      </c>
      <c r="D106" t="s">
        <v>242</v>
      </c>
      <c r="E106" t="s">
        <v>40</v>
      </c>
      <c r="F106" s="9">
        <v>30</v>
      </c>
      <c r="G106" s="11">
        <f>(G103+F106)</f>
        <v>51000</v>
      </c>
      <c r="H106" t="s">
        <v>36</v>
      </c>
      <c r="I106" t="s">
        <v>37</v>
      </c>
      <c r="J106" t="s">
        <v>38</v>
      </c>
      <c r="K106" t="s">
        <v>143</v>
      </c>
      <c r="L106" t="s">
        <v>270</v>
      </c>
      <c r="M106" t="s">
        <v>238</v>
      </c>
      <c r="N106" t="s">
        <v>240</v>
      </c>
      <c r="O106" s="15">
        <v>0.05</v>
      </c>
      <c r="P106" s="16">
        <f t="shared" si="3"/>
        <v>1.5</v>
      </c>
      <c r="Q106" t="s">
        <v>251</v>
      </c>
      <c r="S106" s="9"/>
    </row>
    <row r="107" spans="1:19">
      <c r="A107" s="5">
        <v>46080</v>
      </c>
      <c r="B107" t="s">
        <v>40</v>
      </c>
      <c r="C107" t="s">
        <v>35</v>
      </c>
      <c r="D107" t="s">
        <v>242</v>
      </c>
      <c r="E107" t="s">
        <v>40</v>
      </c>
      <c r="F107" s="9">
        <v>30</v>
      </c>
      <c r="G107" s="11">
        <f t="shared" si="5"/>
        <v>51030</v>
      </c>
      <c r="H107" t="s">
        <v>36</v>
      </c>
      <c r="I107" t="s">
        <v>37</v>
      </c>
      <c r="J107" t="s">
        <v>38</v>
      </c>
      <c r="K107" t="s">
        <v>144</v>
      </c>
      <c r="L107" t="s">
        <v>270</v>
      </c>
      <c r="M107" t="s">
        <v>238</v>
      </c>
      <c r="N107" t="s">
        <v>240</v>
      </c>
      <c r="O107" s="15">
        <v>0.05</v>
      </c>
      <c r="P107" s="16">
        <f t="shared" si="3"/>
        <v>1.5</v>
      </c>
      <c r="Q107" t="s">
        <v>251</v>
      </c>
      <c r="S107" s="9"/>
    </row>
    <row r="108" spans="1:19">
      <c r="A108" s="5">
        <v>46081</v>
      </c>
      <c r="B108" t="s">
        <v>40</v>
      </c>
      <c r="C108" t="s">
        <v>35</v>
      </c>
      <c r="D108" t="s">
        <v>242</v>
      </c>
      <c r="E108" t="s">
        <v>40</v>
      </c>
      <c r="F108" s="9">
        <v>30</v>
      </c>
      <c r="G108" s="11">
        <f t="shared" si="5"/>
        <v>51060</v>
      </c>
      <c r="H108" t="s">
        <v>36</v>
      </c>
      <c r="I108" t="s">
        <v>37</v>
      </c>
      <c r="J108" t="s">
        <v>38</v>
      </c>
      <c r="K108" t="s">
        <v>145</v>
      </c>
      <c r="L108" t="s">
        <v>270</v>
      </c>
      <c r="M108" t="s">
        <v>238</v>
      </c>
      <c r="N108" t="s">
        <v>240</v>
      </c>
      <c r="O108" s="15">
        <v>0.05</v>
      </c>
      <c r="P108" s="16">
        <f t="shared" si="3"/>
        <v>1.5</v>
      </c>
      <c r="Q108" t="s">
        <v>251</v>
      </c>
      <c r="S108" s="9"/>
    </row>
    <row r="109" spans="1:19">
      <c r="A109" s="5">
        <v>46082</v>
      </c>
      <c r="B109" t="s">
        <v>40</v>
      </c>
      <c r="C109" t="s">
        <v>35</v>
      </c>
      <c r="D109" t="s">
        <v>242</v>
      </c>
      <c r="E109" t="s">
        <v>40</v>
      </c>
      <c r="F109" s="9">
        <v>30</v>
      </c>
      <c r="G109" s="11">
        <f t="shared" si="5"/>
        <v>51090</v>
      </c>
      <c r="H109" t="s">
        <v>36</v>
      </c>
      <c r="I109" t="s">
        <v>37</v>
      </c>
      <c r="J109" t="s">
        <v>38</v>
      </c>
      <c r="K109" t="s">
        <v>146</v>
      </c>
      <c r="L109" t="s">
        <v>270</v>
      </c>
      <c r="M109" t="s">
        <v>238</v>
      </c>
      <c r="N109" t="s">
        <v>241</v>
      </c>
      <c r="O109" s="15">
        <v>0.05</v>
      </c>
      <c r="P109" s="16">
        <f t="shared" si="3"/>
        <v>1.5</v>
      </c>
      <c r="Q109" t="s">
        <v>251</v>
      </c>
      <c r="S109" s="9"/>
    </row>
    <row r="110" spans="1:19">
      <c r="A110" s="5">
        <v>46083</v>
      </c>
      <c r="B110" t="s">
        <v>40</v>
      </c>
      <c r="C110" t="s">
        <v>35</v>
      </c>
      <c r="D110" t="s">
        <v>242</v>
      </c>
      <c r="E110" t="s">
        <v>40</v>
      </c>
      <c r="F110" s="9">
        <v>30</v>
      </c>
      <c r="G110" s="11">
        <f t="shared" si="5"/>
        <v>51120</v>
      </c>
      <c r="H110" t="s">
        <v>36</v>
      </c>
      <c r="I110" t="s">
        <v>37</v>
      </c>
      <c r="J110" t="s">
        <v>38</v>
      </c>
      <c r="K110" t="s">
        <v>147</v>
      </c>
      <c r="L110" t="s">
        <v>269</v>
      </c>
      <c r="M110" t="s">
        <v>238</v>
      </c>
      <c r="N110" t="s">
        <v>241</v>
      </c>
      <c r="O110" s="15">
        <v>0.05</v>
      </c>
      <c r="P110" s="16">
        <f t="shared" si="3"/>
        <v>1.5</v>
      </c>
      <c r="Q110" t="s">
        <v>251</v>
      </c>
      <c r="S110" s="9"/>
    </row>
    <row r="111" spans="1:19">
      <c r="A111" s="5">
        <v>46084</v>
      </c>
      <c r="B111" t="s">
        <v>40</v>
      </c>
      <c r="C111" t="s">
        <v>35</v>
      </c>
      <c r="D111" t="s">
        <v>242</v>
      </c>
      <c r="E111" t="s">
        <v>40</v>
      </c>
      <c r="F111" s="9">
        <v>30</v>
      </c>
      <c r="G111" s="11">
        <f t="shared" si="5"/>
        <v>51150</v>
      </c>
      <c r="H111" t="s">
        <v>36</v>
      </c>
      <c r="I111" t="s">
        <v>37</v>
      </c>
      <c r="J111" t="s">
        <v>38</v>
      </c>
      <c r="K111" t="s">
        <v>148</v>
      </c>
      <c r="L111" t="s">
        <v>270</v>
      </c>
      <c r="M111" t="s">
        <v>238</v>
      </c>
      <c r="N111" t="s">
        <v>241</v>
      </c>
      <c r="O111" s="15">
        <v>0.05</v>
      </c>
      <c r="P111" s="16">
        <f t="shared" si="3"/>
        <v>1.5</v>
      </c>
      <c r="Q111" t="s">
        <v>251</v>
      </c>
      <c r="S111" s="9"/>
    </row>
    <row r="112" spans="1:19">
      <c r="A112" s="5">
        <v>46085</v>
      </c>
      <c r="B112" t="s">
        <v>40</v>
      </c>
      <c r="C112" t="s">
        <v>35</v>
      </c>
      <c r="D112" t="s">
        <v>242</v>
      </c>
      <c r="E112" t="s">
        <v>40</v>
      </c>
      <c r="F112" s="9">
        <v>30</v>
      </c>
      <c r="G112" s="11">
        <f t="shared" si="5"/>
        <v>51180</v>
      </c>
      <c r="H112" t="s">
        <v>36</v>
      </c>
      <c r="I112" t="s">
        <v>37</v>
      </c>
      <c r="J112" t="s">
        <v>38</v>
      </c>
      <c r="K112" t="s">
        <v>149</v>
      </c>
      <c r="L112" t="s">
        <v>270</v>
      </c>
      <c r="M112" t="s">
        <v>238</v>
      </c>
      <c r="N112" t="s">
        <v>241</v>
      </c>
      <c r="O112" s="15">
        <v>0.05</v>
      </c>
      <c r="P112" s="16">
        <f t="shared" si="3"/>
        <v>1.5</v>
      </c>
      <c r="Q112" t="s">
        <v>251</v>
      </c>
      <c r="S112" s="9"/>
    </row>
    <row r="113" spans="1:19">
      <c r="A113" s="5">
        <v>46086</v>
      </c>
      <c r="B113" t="s">
        <v>40</v>
      </c>
      <c r="C113" t="s">
        <v>35</v>
      </c>
      <c r="D113" t="s">
        <v>242</v>
      </c>
      <c r="E113" t="s">
        <v>40</v>
      </c>
      <c r="F113" s="9">
        <v>30</v>
      </c>
      <c r="G113" s="11">
        <f t="shared" si="5"/>
        <v>51210</v>
      </c>
      <c r="H113" t="s">
        <v>36</v>
      </c>
      <c r="I113" t="s">
        <v>37</v>
      </c>
      <c r="J113" t="s">
        <v>38</v>
      </c>
      <c r="K113" t="s">
        <v>150</v>
      </c>
      <c r="L113" t="s">
        <v>270</v>
      </c>
      <c r="M113" t="s">
        <v>238</v>
      </c>
      <c r="N113" t="s">
        <v>241</v>
      </c>
      <c r="O113" s="15">
        <v>0.05</v>
      </c>
      <c r="P113" s="16">
        <f t="shared" si="3"/>
        <v>1.5</v>
      </c>
      <c r="Q113" t="s">
        <v>251</v>
      </c>
      <c r="S113" s="9"/>
    </row>
    <row r="114" spans="1:19">
      <c r="A114" s="5">
        <v>46087</v>
      </c>
      <c r="B114" t="s">
        <v>40</v>
      </c>
      <c r="C114" t="s">
        <v>35</v>
      </c>
      <c r="D114" t="s">
        <v>242</v>
      </c>
      <c r="E114" t="s">
        <v>40</v>
      </c>
      <c r="F114" s="9">
        <v>30</v>
      </c>
      <c r="G114" s="11">
        <f t="shared" si="5"/>
        <v>51240</v>
      </c>
      <c r="H114" t="s">
        <v>36</v>
      </c>
      <c r="I114" t="s">
        <v>37</v>
      </c>
      <c r="J114" t="s">
        <v>38</v>
      </c>
      <c r="K114" t="s">
        <v>151</v>
      </c>
      <c r="L114" t="s">
        <v>270</v>
      </c>
      <c r="M114" t="s">
        <v>238</v>
      </c>
      <c r="N114" t="s">
        <v>241</v>
      </c>
      <c r="O114" s="15">
        <v>0.05</v>
      </c>
      <c r="P114" s="16">
        <f t="shared" si="3"/>
        <v>1.5</v>
      </c>
      <c r="Q114" t="s">
        <v>251</v>
      </c>
      <c r="S114" s="9"/>
    </row>
    <row r="115" spans="1:19">
      <c r="A115" s="5">
        <v>46088</v>
      </c>
      <c r="B115" t="s">
        <v>40</v>
      </c>
      <c r="C115" t="s">
        <v>35</v>
      </c>
      <c r="D115" t="s">
        <v>242</v>
      </c>
      <c r="E115" t="s">
        <v>40</v>
      </c>
      <c r="F115" s="9">
        <v>30</v>
      </c>
      <c r="G115" s="11">
        <f t="shared" si="5"/>
        <v>51270</v>
      </c>
      <c r="H115" t="s">
        <v>36</v>
      </c>
      <c r="I115" t="s">
        <v>37</v>
      </c>
      <c r="J115" t="s">
        <v>38</v>
      </c>
      <c r="K115" t="s">
        <v>152</v>
      </c>
      <c r="L115" t="s">
        <v>270</v>
      </c>
      <c r="M115" t="s">
        <v>238</v>
      </c>
      <c r="N115" t="s">
        <v>241</v>
      </c>
      <c r="O115" s="15">
        <v>0.05</v>
      </c>
      <c r="P115" s="16">
        <f t="shared" si="3"/>
        <v>1.5</v>
      </c>
      <c r="Q115" t="s">
        <v>251</v>
      </c>
      <c r="S115" s="9"/>
    </row>
    <row r="116" spans="1:19">
      <c r="A116" s="5">
        <v>46089</v>
      </c>
      <c r="B116" t="s">
        <v>40</v>
      </c>
      <c r="C116" t="s">
        <v>35</v>
      </c>
      <c r="D116" t="s">
        <v>242</v>
      </c>
      <c r="E116" t="s">
        <v>40</v>
      </c>
      <c r="F116" s="9">
        <v>30</v>
      </c>
      <c r="G116" s="11">
        <f t="shared" si="5"/>
        <v>51300</v>
      </c>
      <c r="H116" t="s">
        <v>36</v>
      </c>
      <c r="I116" t="s">
        <v>37</v>
      </c>
      <c r="J116" t="s">
        <v>38</v>
      </c>
      <c r="K116" t="s">
        <v>153</v>
      </c>
      <c r="L116" t="s">
        <v>270</v>
      </c>
      <c r="M116" t="s">
        <v>238</v>
      </c>
      <c r="N116" t="s">
        <v>241</v>
      </c>
      <c r="O116" s="15">
        <v>0.05</v>
      </c>
      <c r="P116" s="16">
        <f t="shared" si="3"/>
        <v>1.5</v>
      </c>
      <c r="Q116" t="s">
        <v>251</v>
      </c>
      <c r="S116" s="9"/>
    </row>
    <row r="117" spans="1:19">
      <c r="A117" s="5">
        <v>46090</v>
      </c>
      <c r="B117" t="s">
        <v>40</v>
      </c>
      <c r="C117" t="s">
        <v>35</v>
      </c>
      <c r="D117" t="s">
        <v>242</v>
      </c>
      <c r="E117" t="s">
        <v>40</v>
      </c>
      <c r="F117" s="9">
        <v>30</v>
      </c>
      <c r="G117" s="11">
        <f t="shared" si="5"/>
        <v>51330</v>
      </c>
      <c r="H117" t="s">
        <v>36</v>
      </c>
      <c r="I117" t="s">
        <v>37</v>
      </c>
      <c r="J117" t="s">
        <v>38</v>
      </c>
      <c r="K117" t="s">
        <v>154</v>
      </c>
      <c r="L117" t="s">
        <v>270</v>
      </c>
      <c r="M117" t="s">
        <v>238</v>
      </c>
      <c r="N117" t="s">
        <v>241</v>
      </c>
      <c r="O117" s="15">
        <v>0.05</v>
      </c>
      <c r="P117" s="16">
        <f t="shared" si="3"/>
        <v>1.5</v>
      </c>
      <c r="Q117" t="s">
        <v>251</v>
      </c>
      <c r="S117" s="9"/>
    </row>
    <row r="118" spans="1:19">
      <c r="A118" s="5">
        <v>46091</v>
      </c>
      <c r="B118" t="s">
        <v>40</v>
      </c>
      <c r="C118" t="s">
        <v>35</v>
      </c>
      <c r="D118" t="s">
        <v>242</v>
      </c>
      <c r="E118" t="s">
        <v>40</v>
      </c>
      <c r="F118" s="9">
        <v>30</v>
      </c>
      <c r="G118" s="11">
        <f t="shared" si="5"/>
        <v>51360</v>
      </c>
      <c r="H118" t="s">
        <v>36</v>
      </c>
      <c r="I118" t="s">
        <v>37</v>
      </c>
      <c r="J118" t="s">
        <v>38</v>
      </c>
      <c r="K118" t="s">
        <v>155</v>
      </c>
      <c r="L118" t="s">
        <v>270</v>
      </c>
      <c r="M118" t="s">
        <v>238</v>
      </c>
      <c r="N118" t="s">
        <v>241</v>
      </c>
      <c r="O118" s="15">
        <v>0.05</v>
      </c>
      <c r="P118" s="16">
        <f t="shared" si="3"/>
        <v>1.5</v>
      </c>
      <c r="Q118" t="s">
        <v>251</v>
      </c>
      <c r="S118" s="9"/>
    </row>
    <row r="119" spans="1:19">
      <c r="A119" s="5">
        <v>46092</v>
      </c>
      <c r="B119" t="s">
        <v>40</v>
      </c>
      <c r="C119" t="s">
        <v>35</v>
      </c>
      <c r="D119" t="s">
        <v>242</v>
      </c>
      <c r="E119" t="s">
        <v>40</v>
      </c>
      <c r="F119" s="9">
        <v>30</v>
      </c>
      <c r="G119" s="11">
        <f t="shared" si="5"/>
        <v>51390</v>
      </c>
      <c r="H119" t="s">
        <v>36</v>
      </c>
      <c r="I119" t="s">
        <v>37</v>
      </c>
      <c r="J119" t="s">
        <v>38</v>
      </c>
      <c r="K119" t="s">
        <v>156</v>
      </c>
      <c r="L119" t="s">
        <v>270</v>
      </c>
      <c r="M119" t="s">
        <v>238</v>
      </c>
      <c r="N119" t="s">
        <v>241</v>
      </c>
      <c r="O119" s="15">
        <v>0.05</v>
      </c>
      <c r="P119" s="16">
        <f t="shared" si="3"/>
        <v>1.5</v>
      </c>
      <c r="Q119" t="s">
        <v>251</v>
      </c>
      <c r="S119" s="9"/>
    </row>
    <row r="120" spans="1:19">
      <c r="A120" s="5">
        <v>46093</v>
      </c>
      <c r="B120" t="s">
        <v>40</v>
      </c>
      <c r="C120" t="s">
        <v>35</v>
      </c>
      <c r="D120" t="s">
        <v>242</v>
      </c>
      <c r="E120" t="s">
        <v>40</v>
      </c>
      <c r="F120" s="9">
        <v>30</v>
      </c>
      <c r="G120" s="11">
        <f t="shared" si="5"/>
        <v>51420</v>
      </c>
      <c r="H120" t="s">
        <v>36</v>
      </c>
      <c r="I120" t="s">
        <v>37</v>
      </c>
      <c r="J120" t="s">
        <v>38</v>
      </c>
      <c r="K120" t="s">
        <v>157</v>
      </c>
      <c r="L120" t="s">
        <v>269</v>
      </c>
      <c r="M120" t="s">
        <v>238</v>
      </c>
      <c r="N120" t="s">
        <v>241</v>
      </c>
      <c r="O120" s="15">
        <v>0.05</v>
      </c>
      <c r="P120" s="16">
        <f t="shared" si="3"/>
        <v>1.5</v>
      </c>
      <c r="Q120" t="s">
        <v>251</v>
      </c>
      <c r="S120" s="9"/>
    </row>
    <row r="121" spans="1:19">
      <c r="A121" s="5">
        <v>46094</v>
      </c>
      <c r="B121" t="s">
        <v>40</v>
      </c>
      <c r="C121" t="s">
        <v>35</v>
      </c>
      <c r="D121" t="s">
        <v>242</v>
      </c>
      <c r="E121" t="s">
        <v>40</v>
      </c>
      <c r="F121" s="9">
        <v>30</v>
      </c>
      <c r="G121" s="11">
        <f t="shared" si="5"/>
        <v>51450</v>
      </c>
      <c r="H121" t="s">
        <v>36</v>
      </c>
      <c r="I121" t="s">
        <v>37</v>
      </c>
      <c r="J121" t="s">
        <v>38</v>
      </c>
      <c r="K121" t="s">
        <v>158</v>
      </c>
      <c r="L121" t="s">
        <v>270</v>
      </c>
      <c r="M121" t="s">
        <v>238</v>
      </c>
      <c r="N121" t="s">
        <v>240</v>
      </c>
      <c r="O121" s="15">
        <v>0.05</v>
      </c>
      <c r="P121" s="16">
        <f t="shared" si="3"/>
        <v>1.5</v>
      </c>
      <c r="Q121" t="s">
        <v>251</v>
      </c>
      <c r="S121" s="9"/>
    </row>
    <row r="122" spans="1:19">
      <c r="A122" s="5">
        <v>46095</v>
      </c>
      <c r="B122" t="s">
        <v>40</v>
      </c>
      <c r="C122" t="s">
        <v>35</v>
      </c>
      <c r="D122" t="s">
        <v>242</v>
      </c>
      <c r="E122" t="s">
        <v>40</v>
      </c>
      <c r="F122" s="9">
        <v>30</v>
      </c>
      <c r="G122" s="11">
        <f t="shared" si="5"/>
        <v>51480</v>
      </c>
      <c r="H122" t="s">
        <v>36</v>
      </c>
      <c r="I122" t="s">
        <v>37</v>
      </c>
      <c r="J122" t="s">
        <v>38</v>
      </c>
      <c r="K122" t="s">
        <v>159</v>
      </c>
      <c r="L122" t="s">
        <v>270</v>
      </c>
      <c r="M122" t="s">
        <v>238</v>
      </c>
      <c r="N122" t="s">
        <v>240</v>
      </c>
      <c r="O122" s="15">
        <v>0.05</v>
      </c>
      <c r="P122" s="16">
        <f t="shared" si="3"/>
        <v>1.5</v>
      </c>
      <c r="Q122" t="s">
        <v>251</v>
      </c>
      <c r="S122" s="9"/>
    </row>
    <row r="123" spans="1:19">
      <c r="A123" s="5">
        <v>46096</v>
      </c>
      <c r="B123" t="s">
        <v>40</v>
      </c>
      <c r="C123" t="s">
        <v>35</v>
      </c>
      <c r="D123" t="s">
        <v>242</v>
      </c>
      <c r="E123" t="s">
        <v>40</v>
      </c>
      <c r="F123" s="9">
        <v>30</v>
      </c>
      <c r="G123" s="11">
        <f t="shared" si="5"/>
        <v>51510</v>
      </c>
      <c r="H123" t="s">
        <v>36</v>
      </c>
      <c r="I123" t="s">
        <v>37</v>
      </c>
      <c r="J123" t="s">
        <v>38</v>
      </c>
      <c r="K123" t="s">
        <v>160</v>
      </c>
      <c r="L123" t="s">
        <v>270</v>
      </c>
      <c r="M123" t="s">
        <v>238</v>
      </c>
      <c r="N123" t="s">
        <v>240</v>
      </c>
      <c r="O123" s="15">
        <v>0.05</v>
      </c>
      <c r="P123" s="16">
        <f t="shared" si="3"/>
        <v>1.5</v>
      </c>
      <c r="Q123" t="s">
        <v>251</v>
      </c>
      <c r="S123" s="9"/>
    </row>
    <row r="124" spans="1:19">
      <c r="A124" s="5">
        <v>46097</v>
      </c>
      <c r="B124" t="s">
        <v>40</v>
      </c>
      <c r="C124" t="s">
        <v>35</v>
      </c>
      <c r="D124" t="s">
        <v>242</v>
      </c>
      <c r="E124" t="s">
        <v>40</v>
      </c>
      <c r="F124" s="9">
        <v>30</v>
      </c>
      <c r="G124" s="11">
        <f t="shared" si="5"/>
        <v>51540</v>
      </c>
      <c r="H124" t="s">
        <v>36</v>
      </c>
      <c r="I124" t="s">
        <v>37</v>
      </c>
      <c r="J124" t="s">
        <v>38</v>
      </c>
      <c r="K124" t="s">
        <v>161</v>
      </c>
      <c r="L124" t="s">
        <v>270</v>
      </c>
      <c r="M124" t="s">
        <v>238</v>
      </c>
      <c r="N124" t="s">
        <v>240</v>
      </c>
      <c r="O124" s="15">
        <v>0.05</v>
      </c>
      <c r="P124" s="16">
        <f t="shared" si="3"/>
        <v>1.5</v>
      </c>
      <c r="Q124" t="s">
        <v>251</v>
      </c>
      <c r="S124" s="9"/>
    </row>
    <row r="125" spans="1:19">
      <c r="A125" s="5">
        <v>46098</v>
      </c>
      <c r="B125" t="s">
        <v>40</v>
      </c>
      <c r="C125" t="s">
        <v>35</v>
      </c>
      <c r="D125" t="s">
        <v>242</v>
      </c>
      <c r="E125" t="s">
        <v>40</v>
      </c>
      <c r="F125" s="9">
        <v>30</v>
      </c>
      <c r="G125" s="11">
        <f t="shared" si="5"/>
        <v>51570</v>
      </c>
      <c r="H125" t="s">
        <v>36</v>
      </c>
      <c r="I125" t="s">
        <v>37</v>
      </c>
      <c r="J125" t="s">
        <v>38</v>
      </c>
      <c r="K125" t="s">
        <v>162</v>
      </c>
      <c r="L125" t="s">
        <v>270</v>
      </c>
      <c r="M125" t="s">
        <v>238</v>
      </c>
      <c r="N125" t="s">
        <v>240</v>
      </c>
      <c r="O125" s="15">
        <v>0.05</v>
      </c>
      <c r="P125" s="16">
        <f t="shared" si="3"/>
        <v>1.5</v>
      </c>
      <c r="Q125" t="s">
        <v>251</v>
      </c>
      <c r="S125" s="9"/>
    </row>
    <row r="126" spans="1:19">
      <c r="A126" s="5">
        <v>46099</v>
      </c>
      <c r="B126" t="s">
        <v>40</v>
      </c>
      <c r="C126" t="s">
        <v>35</v>
      </c>
      <c r="D126" t="s">
        <v>242</v>
      </c>
      <c r="E126" t="s">
        <v>40</v>
      </c>
      <c r="F126" s="9">
        <v>30</v>
      </c>
      <c r="G126" s="11">
        <f t="shared" si="5"/>
        <v>51600</v>
      </c>
      <c r="H126" t="s">
        <v>36</v>
      </c>
      <c r="I126" t="s">
        <v>37</v>
      </c>
      <c r="J126" t="s">
        <v>38</v>
      </c>
      <c r="K126" t="s">
        <v>163</v>
      </c>
      <c r="L126" t="s">
        <v>270</v>
      </c>
      <c r="M126" t="s">
        <v>238</v>
      </c>
      <c r="N126" t="s">
        <v>240</v>
      </c>
      <c r="O126" s="15">
        <v>0.05</v>
      </c>
      <c r="P126" s="16">
        <f t="shared" si="3"/>
        <v>1.5</v>
      </c>
      <c r="Q126" t="s">
        <v>251</v>
      </c>
      <c r="S126" s="9"/>
    </row>
    <row r="127" spans="1:19">
      <c r="A127" s="5">
        <v>46100</v>
      </c>
      <c r="B127" t="s">
        <v>40</v>
      </c>
      <c r="C127" t="s">
        <v>35</v>
      </c>
      <c r="D127" t="s">
        <v>242</v>
      </c>
      <c r="E127" t="s">
        <v>40</v>
      </c>
      <c r="F127" s="9">
        <v>30</v>
      </c>
      <c r="G127" s="11">
        <f t="shared" si="5"/>
        <v>51630</v>
      </c>
      <c r="H127" t="s">
        <v>36</v>
      </c>
      <c r="I127" t="s">
        <v>37</v>
      </c>
      <c r="J127" t="s">
        <v>38</v>
      </c>
      <c r="K127" t="s">
        <v>164</v>
      </c>
      <c r="L127" t="s">
        <v>270</v>
      </c>
      <c r="M127" t="s">
        <v>238</v>
      </c>
      <c r="N127" t="s">
        <v>240</v>
      </c>
      <c r="O127" s="15">
        <v>0.05</v>
      </c>
      <c r="P127" s="16">
        <f t="shared" si="3"/>
        <v>1.5</v>
      </c>
      <c r="Q127" t="s">
        <v>251</v>
      </c>
      <c r="S127" s="9"/>
    </row>
    <row r="128" spans="1:19">
      <c r="A128" s="5">
        <v>46101</v>
      </c>
      <c r="B128" t="s">
        <v>40</v>
      </c>
      <c r="C128" t="s">
        <v>35</v>
      </c>
      <c r="D128" t="s">
        <v>242</v>
      </c>
      <c r="E128" t="s">
        <v>40</v>
      </c>
      <c r="F128" s="9">
        <v>30</v>
      </c>
      <c r="G128" s="11">
        <f t="shared" si="5"/>
        <v>51660</v>
      </c>
      <c r="H128" t="s">
        <v>36</v>
      </c>
      <c r="I128" t="s">
        <v>37</v>
      </c>
      <c r="J128" t="s">
        <v>38</v>
      </c>
      <c r="K128" t="s">
        <v>165</v>
      </c>
      <c r="L128" t="s">
        <v>270</v>
      </c>
      <c r="M128" t="s">
        <v>238</v>
      </c>
      <c r="N128" t="s">
        <v>240</v>
      </c>
      <c r="O128" s="15">
        <v>0.05</v>
      </c>
      <c r="P128" s="16">
        <f t="shared" si="3"/>
        <v>1.5</v>
      </c>
      <c r="Q128" t="s">
        <v>251</v>
      </c>
      <c r="S128" s="9"/>
    </row>
    <row r="129" spans="1:19">
      <c r="A129" s="5">
        <v>46102</v>
      </c>
      <c r="B129" t="s">
        <v>40</v>
      </c>
      <c r="C129" t="s">
        <v>35</v>
      </c>
      <c r="D129" t="s">
        <v>242</v>
      </c>
      <c r="E129" t="s">
        <v>40</v>
      </c>
      <c r="F129" s="9">
        <v>30</v>
      </c>
      <c r="G129" s="11">
        <f t="shared" si="5"/>
        <v>51690</v>
      </c>
      <c r="H129" t="s">
        <v>36</v>
      </c>
      <c r="I129" t="s">
        <v>37</v>
      </c>
      <c r="J129" t="s">
        <v>38</v>
      </c>
      <c r="K129" t="s">
        <v>166</v>
      </c>
      <c r="L129" t="s">
        <v>270</v>
      </c>
      <c r="M129" t="s">
        <v>238</v>
      </c>
      <c r="N129" t="s">
        <v>240</v>
      </c>
      <c r="O129" s="15">
        <v>0.05</v>
      </c>
      <c r="P129" s="16">
        <f t="shared" si="3"/>
        <v>1.5</v>
      </c>
      <c r="Q129" t="s">
        <v>251</v>
      </c>
      <c r="S129" s="9"/>
    </row>
    <row r="130" spans="1:19">
      <c r="A130" s="5">
        <v>46103</v>
      </c>
      <c r="B130" t="s">
        <v>40</v>
      </c>
      <c r="C130" t="s">
        <v>35</v>
      </c>
      <c r="D130" t="s">
        <v>242</v>
      </c>
      <c r="E130" t="s">
        <v>40</v>
      </c>
      <c r="F130" s="9">
        <v>30</v>
      </c>
      <c r="G130" s="11">
        <f t="shared" si="5"/>
        <v>51720</v>
      </c>
      <c r="H130" t="s">
        <v>36</v>
      </c>
      <c r="I130" t="s">
        <v>37</v>
      </c>
      <c r="J130" t="s">
        <v>38</v>
      </c>
      <c r="K130" t="s">
        <v>167</v>
      </c>
      <c r="L130" t="s">
        <v>270</v>
      </c>
      <c r="M130" t="s">
        <v>238</v>
      </c>
      <c r="N130" t="s">
        <v>241</v>
      </c>
      <c r="O130" s="15">
        <v>0.05</v>
      </c>
      <c r="P130" s="16">
        <f t="shared" si="3"/>
        <v>1.5</v>
      </c>
      <c r="Q130" t="s">
        <v>251</v>
      </c>
      <c r="S130" s="9"/>
    </row>
    <row r="131" spans="1:19">
      <c r="A131" s="5">
        <v>46104</v>
      </c>
      <c r="B131" t="s">
        <v>40</v>
      </c>
      <c r="C131" t="s">
        <v>35</v>
      </c>
      <c r="D131" t="s">
        <v>242</v>
      </c>
      <c r="E131" t="s">
        <v>40</v>
      </c>
      <c r="F131" s="9">
        <v>30</v>
      </c>
      <c r="G131" s="11">
        <f t="shared" si="5"/>
        <v>51750</v>
      </c>
      <c r="H131" t="s">
        <v>36</v>
      </c>
      <c r="I131" t="s">
        <v>37</v>
      </c>
      <c r="J131" t="s">
        <v>38</v>
      </c>
      <c r="K131" t="s">
        <v>168</v>
      </c>
      <c r="L131" t="s">
        <v>270</v>
      </c>
      <c r="M131" t="s">
        <v>238</v>
      </c>
      <c r="N131" t="s">
        <v>241</v>
      </c>
      <c r="O131" s="15">
        <v>0.05</v>
      </c>
      <c r="P131" s="16">
        <f t="shared" si="3"/>
        <v>1.5</v>
      </c>
      <c r="Q131" t="s">
        <v>251</v>
      </c>
      <c r="S131" s="9"/>
    </row>
    <row r="132" spans="1:19">
      <c r="A132" s="5">
        <v>46105</v>
      </c>
      <c r="B132" t="s">
        <v>40</v>
      </c>
      <c r="C132" t="s">
        <v>35</v>
      </c>
      <c r="D132" t="s">
        <v>242</v>
      </c>
      <c r="E132" t="s">
        <v>40</v>
      </c>
      <c r="F132" s="9">
        <v>30</v>
      </c>
      <c r="G132" s="11">
        <f t="shared" si="5"/>
        <v>51780</v>
      </c>
      <c r="H132" t="s">
        <v>36</v>
      </c>
      <c r="I132" t="s">
        <v>37</v>
      </c>
      <c r="J132" t="s">
        <v>38</v>
      </c>
      <c r="K132" t="s">
        <v>169</v>
      </c>
      <c r="L132" t="s">
        <v>269</v>
      </c>
      <c r="M132" t="s">
        <v>238</v>
      </c>
      <c r="N132" t="s">
        <v>241</v>
      </c>
      <c r="O132" s="15">
        <v>0.05</v>
      </c>
      <c r="P132" s="16">
        <f t="shared" si="3"/>
        <v>1.5</v>
      </c>
      <c r="Q132" t="s">
        <v>251</v>
      </c>
      <c r="S132" s="9"/>
    </row>
    <row r="133" spans="1:19">
      <c r="A133" s="5">
        <v>46106</v>
      </c>
      <c r="B133" t="s">
        <v>40</v>
      </c>
      <c r="C133" t="s">
        <v>35</v>
      </c>
      <c r="D133" t="s">
        <v>242</v>
      </c>
      <c r="E133" t="s">
        <v>40</v>
      </c>
      <c r="F133" s="9">
        <v>30</v>
      </c>
      <c r="G133" s="11">
        <f t="shared" si="5"/>
        <v>51810</v>
      </c>
      <c r="H133" t="s">
        <v>36</v>
      </c>
      <c r="I133" t="s">
        <v>37</v>
      </c>
      <c r="J133" t="s">
        <v>38</v>
      </c>
      <c r="K133" t="s">
        <v>170</v>
      </c>
      <c r="L133" t="s">
        <v>270</v>
      </c>
      <c r="M133" t="s">
        <v>238</v>
      </c>
      <c r="N133" t="s">
        <v>241</v>
      </c>
      <c r="O133" s="15">
        <v>0.05</v>
      </c>
      <c r="P133" s="16">
        <f t="shared" si="3"/>
        <v>1.5</v>
      </c>
      <c r="Q133" t="s">
        <v>251</v>
      </c>
      <c r="S133" s="9"/>
    </row>
    <row r="134" spans="1:19">
      <c r="A134" s="5">
        <v>46106</v>
      </c>
      <c r="B134" t="s">
        <v>51</v>
      </c>
      <c r="C134" t="s">
        <v>30</v>
      </c>
      <c r="D134" t="s">
        <v>280</v>
      </c>
      <c r="E134" t="s">
        <v>53</v>
      </c>
      <c r="F134" s="9">
        <v>-100</v>
      </c>
      <c r="G134" s="11">
        <f t="shared" ref="G134" si="6">(G133+F134)</f>
        <v>51710</v>
      </c>
      <c r="H134" t="s">
        <v>54</v>
      </c>
      <c r="I134" t="s">
        <v>37</v>
      </c>
      <c r="J134" t="s">
        <v>38</v>
      </c>
      <c r="K134" t="s">
        <v>133</v>
      </c>
      <c r="L134" t="s">
        <v>269</v>
      </c>
      <c r="M134" t="s">
        <v>238</v>
      </c>
      <c r="N134" t="s">
        <v>241</v>
      </c>
      <c r="O134" s="15">
        <v>0</v>
      </c>
      <c r="P134" s="16">
        <f t="shared" ref="P134" si="7">(F134*O134)</f>
        <v>0</v>
      </c>
      <c r="Q134" t="s">
        <v>251</v>
      </c>
    </row>
    <row r="135" spans="1:19">
      <c r="A135" s="5">
        <v>46106</v>
      </c>
      <c r="B135" t="s">
        <v>51</v>
      </c>
      <c r="C135" t="s">
        <v>30</v>
      </c>
      <c r="D135" t="s">
        <v>280</v>
      </c>
      <c r="E135" t="s">
        <v>239</v>
      </c>
      <c r="F135" s="9">
        <v>-120</v>
      </c>
      <c r="G135" s="11">
        <f>(G134+F135)</f>
        <v>51590</v>
      </c>
      <c r="H135" t="s">
        <v>54</v>
      </c>
      <c r="I135" t="s">
        <v>37</v>
      </c>
      <c r="J135" t="s">
        <v>38</v>
      </c>
      <c r="O135" s="15"/>
      <c r="P135" s="16"/>
      <c r="S135" s="9"/>
    </row>
    <row r="136" spans="1:19">
      <c r="A136" s="5">
        <v>46106</v>
      </c>
      <c r="B136" t="s">
        <v>51</v>
      </c>
      <c r="C136" t="s">
        <v>30</v>
      </c>
      <c r="D136" t="s">
        <v>280</v>
      </c>
      <c r="E136" t="s">
        <v>241</v>
      </c>
      <c r="F136" s="9">
        <v>-180</v>
      </c>
      <c r="G136" s="11">
        <f>(G135+F136)</f>
        <v>51410</v>
      </c>
      <c r="H136" t="s">
        <v>54</v>
      </c>
      <c r="I136" t="s">
        <v>37</v>
      </c>
      <c r="J136" t="s">
        <v>38</v>
      </c>
      <c r="O136" s="15"/>
      <c r="P136" s="16"/>
      <c r="S136" s="9"/>
    </row>
    <row r="137" spans="1:19">
      <c r="A137" s="5">
        <v>46107</v>
      </c>
      <c r="B137" t="s">
        <v>40</v>
      </c>
      <c r="C137" t="s">
        <v>35</v>
      </c>
      <c r="D137" t="s">
        <v>242</v>
      </c>
      <c r="E137" t="s">
        <v>40</v>
      </c>
      <c r="F137" s="9">
        <v>30</v>
      </c>
      <c r="G137" s="11">
        <f>(G133+F137)</f>
        <v>51840</v>
      </c>
      <c r="H137" t="s">
        <v>36</v>
      </c>
      <c r="I137" t="s">
        <v>37</v>
      </c>
      <c r="J137" t="s">
        <v>38</v>
      </c>
      <c r="K137" t="s">
        <v>171</v>
      </c>
      <c r="L137" t="s">
        <v>270</v>
      </c>
      <c r="M137" t="s">
        <v>238</v>
      </c>
      <c r="N137" t="s">
        <v>239</v>
      </c>
      <c r="O137" s="15">
        <v>0.05</v>
      </c>
      <c r="P137" s="16">
        <f t="shared" si="3"/>
        <v>1.5</v>
      </c>
      <c r="Q137" t="s">
        <v>251</v>
      </c>
      <c r="S137" s="9"/>
    </row>
    <row r="138" spans="1:19">
      <c r="A138" s="5">
        <v>46108</v>
      </c>
      <c r="B138" t="s">
        <v>40</v>
      </c>
      <c r="C138" t="s">
        <v>35</v>
      </c>
      <c r="D138" t="s">
        <v>242</v>
      </c>
      <c r="E138" t="s">
        <v>40</v>
      </c>
      <c r="F138" s="9">
        <v>30</v>
      </c>
      <c r="G138" s="11">
        <f t="shared" si="5"/>
        <v>51870</v>
      </c>
      <c r="H138" t="s">
        <v>36</v>
      </c>
      <c r="I138" t="s">
        <v>37</v>
      </c>
      <c r="J138" t="s">
        <v>38</v>
      </c>
      <c r="K138" t="s">
        <v>172</v>
      </c>
      <c r="L138" t="s">
        <v>270</v>
      </c>
      <c r="M138" t="s">
        <v>238</v>
      </c>
      <c r="N138" t="s">
        <v>239</v>
      </c>
      <c r="O138" s="15">
        <v>0.05</v>
      </c>
      <c r="P138" s="16">
        <f t="shared" si="3"/>
        <v>1.5</v>
      </c>
      <c r="Q138" t="s">
        <v>251</v>
      </c>
      <c r="S138" s="9"/>
    </row>
    <row r="139" spans="1:19">
      <c r="A139" s="5">
        <v>46109</v>
      </c>
      <c r="B139" t="s">
        <v>40</v>
      </c>
      <c r="C139" t="s">
        <v>35</v>
      </c>
      <c r="D139" t="s">
        <v>242</v>
      </c>
      <c r="E139" t="s">
        <v>40</v>
      </c>
      <c r="F139" s="9">
        <v>30</v>
      </c>
      <c r="G139" s="11">
        <f t="shared" si="5"/>
        <v>51900</v>
      </c>
      <c r="H139" t="s">
        <v>36</v>
      </c>
      <c r="I139" t="s">
        <v>37</v>
      </c>
      <c r="J139" t="s">
        <v>38</v>
      </c>
      <c r="K139" t="s">
        <v>173</v>
      </c>
      <c r="L139" t="s">
        <v>270</v>
      </c>
      <c r="M139" t="s">
        <v>238</v>
      </c>
      <c r="N139" t="s">
        <v>239</v>
      </c>
      <c r="O139" s="15">
        <v>0.05</v>
      </c>
      <c r="P139" s="16">
        <f t="shared" si="3"/>
        <v>1.5</v>
      </c>
      <c r="Q139" t="s">
        <v>251</v>
      </c>
      <c r="S139" s="9"/>
    </row>
    <row r="140" spans="1:19">
      <c r="A140" s="5">
        <v>46110</v>
      </c>
      <c r="B140" t="s">
        <v>40</v>
      </c>
      <c r="C140" t="s">
        <v>35</v>
      </c>
      <c r="D140" t="s">
        <v>242</v>
      </c>
      <c r="E140" t="s">
        <v>40</v>
      </c>
      <c r="F140" s="9">
        <v>30</v>
      </c>
      <c r="G140" s="11">
        <f t="shared" si="5"/>
        <v>51930</v>
      </c>
      <c r="H140" t="s">
        <v>36</v>
      </c>
      <c r="I140" t="s">
        <v>37</v>
      </c>
      <c r="J140" t="s">
        <v>38</v>
      </c>
      <c r="K140" t="s">
        <v>174</v>
      </c>
      <c r="L140" t="s">
        <v>270</v>
      </c>
      <c r="M140" t="s">
        <v>238</v>
      </c>
      <c r="N140" t="s">
        <v>239</v>
      </c>
      <c r="O140" s="15">
        <v>0.05</v>
      </c>
      <c r="P140" s="16">
        <f t="shared" ref="P140:P164" si="8">(F140*O140)</f>
        <v>1.5</v>
      </c>
      <c r="Q140" t="s">
        <v>251</v>
      </c>
      <c r="S140" s="9"/>
    </row>
    <row r="141" spans="1:19">
      <c r="A141" s="5">
        <v>46111</v>
      </c>
      <c r="B141" t="s">
        <v>40</v>
      </c>
      <c r="C141" t="s">
        <v>35</v>
      </c>
      <c r="D141" t="s">
        <v>242</v>
      </c>
      <c r="E141" t="s">
        <v>40</v>
      </c>
      <c r="F141" s="9">
        <v>30</v>
      </c>
      <c r="G141" s="11">
        <f t="shared" si="5"/>
        <v>51960</v>
      </c>
      <c r="H141" t="s">
        <v>36</v>
      </c>
      <c r="I141" t="s">
        <v>37</v>
      </c>
      <c r="J141" t="s">
        <v>38</v>
      </c>
      <c r="K141" t="s">
        <v>175</v>
      </c>
      <c r="L141" t="s">
        <v>270</v>
      </c>
      <c r="M141" t="s">
        <v>238</v>
      </c>
      <c r="N141" t="s">
        <v>239</v>
      </c>
      <c r="O141" s="15">
        <v>0.05</v>
      </c>
      <c r="P141" s="16">
        <f t="shared" si="8"/>
        <v>1.5</v>
      </c>
      <c r="Q141" t="s">
        <v>251</v>
      </c>
      <c r="S141" s="9"/>
    </row>
    <row r="142" spans="1:19">
      <c r="A142" s="5">
        <v>46112</v>
      </c>
      <c r="B142" t="s">
        <v>40</v>
      </c>
      <c r="C142" t="s">
        <v>35</v>
      </c>
      <c r="D142" t="s">
        <v>242</v>
      </c>
      <c r="E142" t="s">
        <v>40</v>
      </c>
      <c r="F142" s="9">
        <v>30</v>
      </c>
      <c r="G142" s="11">
        <f t="shared" si="5"/>
        <v>51990</v>
      </c>
      <c r="H142" t="s">
        <v>36</v>
      </c>
      <c r="I142" t="s">
        <v>37</v>
      </c>
      <c r="J142" t="s">
        <v>38</v>
      </c>
      <c r="K142" t="s">
        <v>176</v>
      </c>
      <c r="L142" t="s">
        <v>270</v>
      </c>
      <c r="M142" t="s">
        <v>238</v>
      </c>
      <c r="N142" t="s">
        <v>239</v>
      </c>
      <c r="O142" s="15">
        <v>0.05</v>
      </c>
      <c r="P142" s="16">
        <f t="shared" si="8"/>
        <v>1.5</v>
      </c>
      <c r="Q142" t="s">
        <v>251</v>
      </c>
      <c r="S142" s="9"/>
    </row>
    <row r="143" spans="1:19">
      <c r="A143" s="5">
        <v>46113</v>
      </c>
      <c r="B143" t="s">
        <v>40</v>
      </c>
      <c r="C143" t="s">
        <v>35</v>
      </c>
      <c r="D143" t="s">
        <v>242</v>
      </c>
      <c r="E143" t="s">
        <v>40</v>
      </c>
      <c r="F143" s="9">
        <v>30</v>
      </c>
      <c r="G143" s="11">
        <f t="shared" si="5"/>
        <v>52020</v>
      </c>
      <c r="H143" t="s">
        <v>36</v>
      </c>
      <c r="I143" t="s">
        <v>37</v>
      </c>
      <c r="J143" t="s">
        <v>38</v>
      </c>
      <c r="K143" t="s">
        <v>177</v>
      </c>
      <c r="L143" t="s">
        <v>270</v>
      </c>
      <c r="M143" t="s">
        <v>238</v>
      </c>
      <c r="N143" t="s">
        <v>239</v>
      </c>
      <c r="O143" s="15">
        <v>0.05</v>
      </c>
      <c r="P143" s="16">
        <f t="shared" si="8"/>
        <v>1.5</v>
      </c>
      <c r="Q143" t="s">
        <v>251</v>
      </c>
      <c r="S143" s="9"/>
    </row>
    <row r="144" spans="1:19">
      <c r="A144" s="5">
        <v>46114</v>
      </c>
      <c r="B144" t="s">
        <v>40</v>
      </c>
      <c r="C144" t="s">
        <v>35</v>
      </c>
      <c r="D144" t="s">
        <v>242</v>
      </c>
      <c r="E144" t="s">
        <v>40</v>
      </c>
      <c r="F144" s="9">
        <v>30</v>
      </c>
      <c r="G144" s="11">
        <f t="shared" si="5"/>
        <v>52050</v>
      </c>
      <c r="H144" t="s">
        <v>36</v>
      </c>
      <c r="I144" t="s">
        <v>37</v>
      </c>
      <c r="J144" t="s">
        <v>38</v>
      </c>
      <c r="K144" t="s">
        <v>178</v>
      </c>
      <c r="L144" t="s">
        <v>270</v>
      </c>
      <c r="M144" t="s">
        <v>238</v>
      </c>
      <c r="N144" t="s">
        <v>239</v>
      </c>
      <c r="O144" s="15">
        <v>0.05</v>
      </c>
      <c r="P144" s="16">
        <f t="shared" si="8"/>
        <v>1.5</v>
      </c>
      <c r="Q144" t="s">
        <v>251</v>
      </c>
      <c r="S144" s="9"/>
    </row>
    <row r="145" spans="1:19">
      <c r="A145" s="5">
        <v>46115</v>
      </c>
      <c r="B145" t="s">
        <v>40</v>
      </c>
      <c r="C145" t="s">
        <v>35</v>
      </c>
      <c r="D145" t="s">
        <v>242</v>
      </c>
      <c r="E145" t="s">
        <v>40</v>
      </c>
      <c r="F145" s="9">
        <v>30</v>
      </c>
      <c r="G145" s="11">
        <f t="shared" si="5"/>
        <v>52080</v>
      </c>
      <c r="H145" t="s">
        <v>36</v>
      </c>
      <c r="I145" t="s">
        <v>37</v>
      </c>
      <c r="J145" t="s">
        <v>38</v>
      </c>
      <c r="K145" t="s">
        <v>179</v>
      </c>
      <c r="L145" t="s">
        <v>270</v>
      </c>
      <c r="M145" t="s">
        <v>238</v>
      </c>
      <c r="N145" t="s">
        <v>239</v>
      </c>
      <c r="O145" s="15">
        <v>0.05</v>
      </c>
      <c r="P145" s="16">
        <f t="shared" si="8"/>
        <v>1.5</v>
      </c>
      <c r="Q145" t="s">
        <v>251</v>
      </c>
      <c r="S145" s="9"/>
    </row>
    <row r="146" spans="1:19">
      <c r="A146" s="5">
        <v>46116</v>
      </c>
      <c r="B146" t="s">
        <v>40</v>
      </c>
      <c r="C146" t="s">
        <v>35</v>
      </c>
      <c r="D146" t="s">
        <v>242</v>
      </c>
      <c r="E146" t="s">
        <v>40</v>
      </c>
      <c r="F146" s="9">
        <v>60</v>
      </c>
      <c r="G146" s="11">
        <f t="shared" si="5"/>
        <v>52140</v>
      </c>
      <c r="H146" t="s">
        <v>36</v>
      </c>
      <c r="I146" t="s">
        <v>37</v>
      </c>
      <c r="J146" t="s">
        <v>38</v>
      </c>
      <c r="K146" t="s">
        <v>180</v>
      </c>
      <c r="L146" t="s">
        <v>270</v>
      </c>
      <c r="M146" t="s">
        <v>238</v>
      </c>
      <c r="N146" t="s">
        <v>239</v>
      </c>
      <c r="O146" s="15">
        <v>0.05</v>
      </c>
      <c r="P146" s="16">
        <f t="shared" si="8"/>
        <v>3</v>
      </c>
      <c r="Q146" t="s">
        <v>251</v>
      </c>
      <c r="S146" s="9"/>
    </row>
    <row r="147" spans="1:19">
      <c r="A147" s="5">
        <v>46117</v>
      </c>
      <c r="B147" t="s">
        <v>40</v>
      </c>
      <c r="C147" t="s">
        <v>35</v>
      </c>
      <c r="D147" t="s">
        <v>242</v>
      </c>
      <c r="E147" t="s">
        <v>40</v>
      </c>
      <c r="F147" s="9">
        <v>60</v>
      </c>
      <c r="G147" s="11">
        <f t="shared" si="5"/>
        <v>52200</v>
      </c>
      <c r="H147" t="s">
        <v>36</v>
      </c>
      <c r="I147" t="s">
        <v>37</v>
      </c>
      <c r="J147" t="s">
        <v>38</v>
      </c>
      <c r="K147" t="s">
        <v>181</v>
      </c>
      <c r="L147" t="s">
        <v>269</v>
      </c>
      <c r="M147" t="s">
        <v>238</v>
      </c>
      <c r="N147" t="s">
        <v>241</v>
      </c>
      <c r="O147" s="15">
        <v>0.05</v>
      </c>
      <c r="P147" s="16">
        <f t="shared" si="8"/>
        <v>3</v>
      </c>
      <c r="Q147" t="s">
        <v>251</v>
      </c>
      <c r="S147" s="9"/>
    </row>
    <row r="148" spans="1:19">
      <c r="A148" s="5">
        <v>46118</v>
      </c>
      <c r="B148" t="s">
        <v>40</v>
      </c>
      <c r="C148" t="s">
        <v>35</v>
      </c>
      <c r="D148" t="s">
        <v>242</v>
      </c>
      <c r="E148" t="s">
        <v>40</v>
      </c>
      <c r="F148" s="9">
        <v>60</v>
      </c>
      <c r="G148" s="11">
        <f t="shared" si="5"/>
        <v>52260</v>
      </c>
      <c r="H148" t="s">
        <v>36</v>
      </c>
      <c r="I148" t="s">
        <v>37</v>
      </c>
      <c r="J148" t="s">
        <v>38</v>
      </c>
      <c r="K148" t="s">
        <v>182</v>
      </c>
      <c r="L148" t="s">
        <v>270</v>
      </c>
      <c r="M148" t="s">
        <v>238</v>
      </c>
      <c r="N148" t="s">
        <v>241</v>
      </c>
      <c r="O148" s="15">
        <v>0.05</v>
      </c>
      <c r="P148" s="16">
        <f t="shared" si="8"/>
        <v>3</v>
      </c>
      <c r="Q148" t="s">
        <v>251</v>
      </c>
      <c r="S148" s="9"/>
    </row>
    <row r="149" spans="1:19">
      <c r="A149" s="5">
        <v>46119</v>
      </c>
      <c r="B149" t="s">
        <v>40</v>
      </c>
      <c r="C149" t="s">
        <v>35</v>
      </c>
      <c r="D149" t="s">
        <v>242</v>
      </c>
      <c r="E149" t="s">
        <v>40</v>
      </c>
      <c r="F149" s="9">
        <v>60</v>
      </c>
      <c r="G149" s="11">
        <f t="shared" ref="G149:G164" si="9">(G148+F149)</f>
        <v>52320</v>
      </c>
      <c r="H149" t="s">
        <v>36</v>
      </c>
      <c r="I149" t="s">
        <v>37</v>
      </c>
      <c r="J149" t="s">
        <v>38</v>
      </c>
      <c r="K149" t="s">
        <v>183</v>
      </c>
      <c r="L149" t="s">
        <v>270</v>
      </c>
      <c r="M149" t="s">
        <v>238</v>
      </c>
      <c r="N149" t="s">
        <v>239</v>
      </c>
      <c r="O149" s="15">
        <v>0.05</v>
      </c>
      <c r="P149" s="16">
        <f t="shared" si="8"/>
        <v>3</v>
      </c>
      <c r="Q149" t="s">
        <v>251</v>
      </c>
      <c r="S149" s="9"/>
    </row>
    <row r="150" spans="1:19">
      <c r="A150" s="5">
        <v>46120</v>
      </c>
      <c r="B150" t="s">
        <v>40</v>
      </c>
      <c r="C150" t="s">
        <v>35</v>
      </c>
      <c r="D150" t="s">
        <v>242</v>
      </c>
      <c r="E150" t="s">
        <v>40</v>
      </c>
      <c r="F150" s="9">
        <v>60</v>
      </c>
      <c r="G150" s="11">
        <f t="shared" si="9"/>
        <v>52380</v>
      </c>
      <c r="H150" t="s">
        <v>36</v>
      </c>
      <c r="I150" t="s">
        <v>37</v>
      </c>
      <c r="J150" t="s">
        <v>38</v>
      </c>
      <c r="K150" t="s">
        <v>184</v>
      </c>
      <c r="L150" t="s">
        <v>270</v>
      </c>
      <c r="M150" t="s">
        <v>238</v>
      </c>
      <c r="N150" t="s">
        <v>239</v>
      </c>
      <c r="O150" s="15">
        <v>0.05</v>
      </c>
      <c r="P150" s="16">
        <f t="shared" si="8"/>
        <v>3</v>
      </c>
      <c r="Q150" t="s">
        <v>251</v>
      </c>
      <c r="S150" s="9"/>
    </row>
    <row r="151" spans="1:19">
      <c r="A151" s="5">
        <v>46121</v>
      </c>
      <c r="B151" t="s">
        <v>40</v>
      </c>
      <c r="C151" t="s">
        <v>35</v>
      </c>
      <c r="D151" t="s">
        <v>242</v>
      </c>
      <c r="E151" t="s">
        <v>40</v>
      </c>
      <c r="F151" s="9">
        <v>60</v>
      </c>
      <c r="G151" s="11">
        <f t="shared" si="9"/>
        <v>52440</v>
      </c>
      <c r="H151" t="s">
        <v>36</v>
      </c>
      <c r="I151" t="s">
        <v>37</v>
      </c>
      <c r="J151" t="s">
        <v>38</v>
      </c>
      <c r="K151" t="s">
        <v>185</v>
      </c>
      <c r="L151" t="s">
        <v>270</v>
      </c>
      <c r="M151" t="s">
        <v>238</v>
      </c>
      <c r="N151" t="s">
        <v>239</v>
      </c>
      <c r="O151" s="15">
        <v>0.05</v>
      </c>
      <c r="P151" s="16">
        <f t="shared" si="8"/>
        <v>3</v>
      </c>
      <c r="Q151" t="s">
        <v>251</v>
      </c>
      <c r="S151" s="9"/>
    </row>
    <row r="152" spans="1:19">
      <c r="A152" s="5">
        <v>46122</v>
      </c>
      <c r="B152" t="s">
        <v>40</v>
      </c>
      <c r="C152" t="s">
        <v>35</v>
      </c>
      <c r="D152" t="s">
        <v>242</v>
      </c>
      <c r="E152" t="s">
        <v>40</v>
      </c>
      <c r="F152" s="9">
        <v>60</v>
      </c>
      <c r="G152" s="11">
        <f t="shared" si="9"/>
        <v>52500</v>
      </c>
      <c r="H152" t="s">
        <v>36</v>
      </c>
      <c r="I152" t="s">
        <v>37</v>
      </c>
      <c r="J152" t="s">
        <v>38</v>
      </c>
      <c r="K152" t="s">
        <v>186</v>
      </c>
      <c r="L152" t="s">
        <v>270</v>
      </c>
      <c r="M152" t="s">
        <v>238</v>
      </c>
      <c r="N152" t="s">
        <v>239</v>
      </c>
      <c r="O152" s="15">
        <v>0.05</v>
      </c>
      <c r="P152" s="16">
        <f t="shared" si="8"/>
        <v>3</v>
      </c>
      <c r="Q152" t="s">
        <v>251</v>
      </c>
      <c r="S152" s="9"/>
    </row>
    <row r="153" spans="1:19">
      <c r="A153" s="5">
        <v>46123</v>
      </c>
      <c r="B153" t="s">
        <v>40</v>
      </c>
      <c r="C153" t="s">
        <v>35</v>
      </c>
      <c r="D153" t="s">
        <v>242</v>
      </c>
      <c r="E153" t="s">
        <v>40</v>
      </c>
      <c r="F153" s="9">
        <v>60</v>
      </c>
      <c r="G153" s="11">
        <f t="shared" si="9"/>
        <v>52560</v>
      </c>
      <c r="H153" t="s">
        <v>36</v>
      </c>
      <c r="I153" t="s">
        <v>37</v>
      </c>
      <c r="J153" t="s">
        <v>38</v>
      </c>
      <c r="K153" t="s">
        <v>187</v>
      </c>
      <c r="L153" t="s">
        <v>270</v>
      </c>
      <c r="M153" t="s">
        <v>238</v>
      </c>
      <c r="N153" t="s">
        <v>239</v>
      </c>
      <c r="O153" s="15">
        <v>0.05</v>
      </c>
      <c r="P153" s="16">
        <f t="shared" si="8"/>
        <v>3</v>
      </c>
      <c r="Q153" t="s">
        <v>251</v>
      </c>
      <c r="S153" s="9"/>
    </row>
    <row r="154" spans="1:19">
      <c r="A154" s="5">
        <v>46124</v>
      </c>
      <c r="B154" t="s">
        <v>40</v>
      </c>
      <c r="C154" t="s">
        <v>35</v>
      </c>
      <c r="D154" t="s">
        <v>242</v>
      </c>
      <c r="E154" t="s">
        <v>40</v>
      </c>
      <c r="F154" s="9">
        <v>60</v>
      </c>
      <c r="G154" s="11">
        <f t="shared" si="9"/>
        <v>52620</v>
      </c>
      <c r="H154" t="s">
        <v>36</v>
      </c>
      <c r="I154" t="s">
        <v>37</v>
      </c>
      <c r="J154" t="s">
        <v>38</v>
      </c>
      <c r="K154" t="s">
        <v>188</v>
      </c>
      <c r="L154" t="s">
        <v>270</v>
      </c>
      <c r="M154" t="s">
        <v>238</v>
      </c>
      <c r="N154" t="s">
        <v>239</v>
      </c>
      <c r="O154" s="15">
        <v>0.05</v>
      </c>
      <c r="P154" s="16">
        <f t="shared" si="8"/>
        <v>3</v>
      </c>
      <c r="Q154" t="s">
        <v>251</v>
      </c>
      <c r="S154" s="9"/>
    </row>
    <row r="155" spans="1:19">
      <c r="A155" s="5">
        <v>46125</v>
      </c>
      <c r="B155" t="s">
        <v>40</v>
      </c>
      <c r="C155" t="s">
        <v>35</v>
      </c>
      <c r="D155" t="s">
        <v>242</v>
      </c>
      <c r="E155" t="s">
        <v>40</v>
      </c>
      <c r="F155" s="9">
        <v>60</v>
      </c>
      <c r="G155" s="11">
        <f t="shared" si="9"/>
        <v>52680</v>
      </c>
      <c r="H155" t="s">
        <v>36</v>
      </c>
      <c r="I155" t="s">
        <v>37</v>
      </c>
      <c r="J155" t="s">
        <v>38</v>
      </c>
      <c r="K155" t="s">
        <v>189</v>
      </c>
      <c r="L155" t="s">
        <v>270</v>
      </c>
      <c r="M155" t="s">
        <v>238</v>
      </c>
      <c r="N155" t="s">
        <v>239</v>
      </c>
      <c r="O155" s="15">
        <v>0.05</v>
      </c>
      <c r="P155" s="16">
        <f t="shared" si="8"/>
        <v>3</v>
      </c>
      <c r="Q155" t="s">
        <v>251</v>
      </c>
      <c r="S155" s="9"/>
    </row>
    <row r="156" spans="1:19">
      <c r="A156" s="5">
        <v>46126</v>
      </c>
      <c r="B156" t="s">
        <v>40</v>
      </c>
      <c r="C156" t="s">
        <v>35</v>
      </c>
      <c r="D156" t="s">
        <v>243</v>
      </c>
      <c r="E156" t="s">
        <v>40</v>
      </c>
      <c r="F156" s="9">
        <v>60</v>
      </c>
      <c r="G156" s="11">
        <f t="shared" si="9"/>
        <v>52740</v>
      </c>
      <c r="H156" t="s">
        <v>36</v>
      </c>
      <c r="I156" t="s">
        <v>37</v>
      </c>
      <c r="J156" t="s">
        <v>38</v>
      </c>
      <c r="K156" t="s">
        <v>190</v>
      </c>
      <c r="L156" t="s">
        <v>270</v>
      </c>
      <c r="M156" t="s">
        <v>238</v>
      </c>
      <c r="N156" t="s">
        <v>239</v>
      </c>
      <c r="O156" s="15">
        <v>0.05</v>
      </c>
      <c r="P156" s="16">
        <f t="shared" si="8"/>
        <v>3</v>
      </c>
      <c r="Q156" t="s">
        <v>251</v>
      </c>
      <c r="S156" s="9"/>
    </row>
    <row r="157" spans="1:19">
      <c r="A157" s="5">
        <v>46127</v>
      </c>
      <c r="B157" t="s">
        <v>40</v>
      </c>
      <c r="C157" t="s">
        <v>35</v>
      </c>
      <c r="D157" t="s">
        <v>244</v>
      </c>
      <c r="E157" t="s">
        <v>40</v>
      </c>
      <c r="F157" s="9">
        <v>60</v>
      </c>
      <c r="G157" s="11">
        <f t="shared" si="9"/>
        <v>52800</v>
      </c>
      <c r="H157" t="s">
        <v>36</v>
      </c>
      <c r="I157" t="s">
        <v>37</v>
      </c>
      <c r="J157" t="s">
        <v>38</v>
      </c>
      <c r="K157" t="s">
        <v>191</v>
      </c>
      <c r="L157" t="s">
        <v>270</v>
      </c>
      <c r="M157" t="s">
        <v>238</v>
      </c>
      <c r="N157" t="s">
        <v>239</v>
      </c>
      <c r="O157" s="15">
        <v>0.05</v>
      </c>
      <c r="P157" s="16">
        <f t="shared" si="8"/>
        <v>3</v>
      </c>
      <c r="Q157" t="s">
        <v>251</v>
      </c>
      <c r="S157" s="9"/>
    </row>
    <row r="158" spans="1:19">
      <c r="A158" s="5">
        <v>46128</v>
      </c>
      <c r="B158" t="s">
        <v>40</v>
      </c>
      <c r="C158" t="s">
        <v>35</v>
      </c>
      <c r="D158" t="s">
        <v>244</v>
      </c>
      <c r="E158" t="s">
        <v>40</v>
      </c>
      <c r="F158" s="9">
        <v>60</v>
      </c>
      <c r="G158" s="11">
        <f t="shared" si="9"/>
        <v>52860</v>
      </c>
      <c r="H158" t="s">
        <v>36</v>
      </c>
      <c r="I158" t="s">
        <v>37</v>
      </c>
      <c r="J158" t="s">
        <v>38</v>
      </c>
      <c r="K158" t="s">
        <v>192</v>
      </c>
      <c r="L158" t="s">
        <v>270</v>
      </c>
      <c r="M158" t="s">
        <v>238</v>
      </c>
      <c r="N158" t="s">
        <v>239</v>
      </c>
      <c r="O158" s="15">
        <v>0.05</v>
      </c>
      <c r="P158" s="16">
        <f t="shared" si="8"/>
        <v>3</v>
      </c>
      <c r="Q158" t="s">
        <v>251</v>
      </c>
      <c r="S158" s="9"/>
    </row>
    <row r="159" spans="1:19">
      <c r="A159" s="5">
        <v>46106</v>
      </c>
      <c r="B159" t="s">
        <v>51</v>
      </c>
      <c r="C159" t="s">
        <v>30</v>
      </c>
      <c r="D159" t="s">
        <v>280</v>
      </c>
      <c r="E159" t="s">
        <v>53</v>
      </c>
      <c r="F159" s="9">
        <v>-100</v>
      </c>
      <c r="G159" s="11">
        <f t="shared" si="9"/>
        <v>52760</v>
      </c>
      <c r="H159" t="s">
        <v>54</v>
      </c>
      <c r="I159" t="s">
        <v>37</v>
      </c>
      <c r="J159" t="s">
        <v>38</v>
      </c>
      <c r="K159" t="s">
        <v>133</v>
      </c>
      <c r="L159" t="s">
        <v>269</v>
      </c>
      <c r="M159" t="s">
        <v>238</v>
      </c>
      <c r="N159" t="s">
        <v>241</v>
      </c>
      <c r="O159" s="15">
        <v>0</v>
      </c>
      <c r="P159" s="16">
        <f t="shared" si="8"/>
        <v>0</v>
      </c>
      <c r="Q159" t="s">
        <v>251</v>
      </c>
    </row>
    <row r="160" spans="1:19">
      <c r="A160" s="5">
        <v>46106</v>
      </c>
      <c r="B160" t="s">
        <v>51</v>
      </c>
      <c r="C160" t="s">
        <v>30</v>
      </c>
      <c r="D160" t="s">
        <v>280</v>
      </c>
      <c r="E160" t="s">
        <v>239</v>
      </c>
      <c r="F160" s="9">
        <v>-120</v>
      </c>
      <c r="G160" s="11">
        <f>(G159+F160)</f>
        <v>52640</v>
      </c>
      <c r="H160" t="s">
        <v>54</v>
      </c>
      <c r="I160" t="s">
        <v>37</v>
      </c>
      <c r="J160" t="s">
        <v>38</v>
      </c>
      <c r="O160" s="15"/>
      <c r="P160" s="16"/>
      <c r="S160" s="9"/>
    </row>
    <row r="161" spans="1:19">
      <c r="A161" s="5">
        <v>46106</v>
      </c>
      <c r="B161" t="s">
        <v>51</v>
      </c>
      <c r="C161" t="s">
        <v>30</v>
      </c>
      <c r="D161" t="s">
        <v>280</v>
      </c>
      <c r="E161" t="s">
        <v>241</v>
      </c>
      <c r="F161" s="9">
        <v>-180</v>
      </c>
      <c r="G161" s="11">
        <f>(G160+F161)</f>
        <v>52460</v>
      </c>
      <c r="H161" t="s">
        <v>54</v>
      </c>
      <c r="I161" t="s">
        <v>37</v>
      </c>
      <c r="J161" t="s">
        <v>38</v>
      </c>
      <c r="O161" s="15"/>
      <c r="P161" s="16"/>
      <c r="S161" s="9"/>
    </row>
    <row r="162" spans="1:19">
      <c r="A162" s="5">
        <v>46142</v>
      </c>
      <c r="B162" t="s">
        <v>281</v>
      </c>
      <c r="C162" t="s">
        <v>30</v>
      </c>
      <c r="D162" t="s">
        <v>281</v>
      </c>
      <c r="E162" t="s">
        <v>242</v>
      </c>
      <c r="F162" s="9">
        <v>-10000</v>
      </c>
      <c r="G162" s="11">
        <f>(G158+F162)</f>
        <v>42860</v>
      </c>
      <c r="H162" t="s">
        <v>36</v>
      </c>
      <c r="I162" t="s">
        <v>37</v>
      </c>
      <c r="J162" t="s">
        <v>38</v>
      </c>
      <c r="K162" t="s">
        <v>248</v>
      </c>
      <c r="L162" t="s">
        <v>269</v>
      </c>
      <c r="O162" s="15">
        <v>0</v>
      </c>
      <c r="P162" s="16">
        <f t="shared" si="8"/>
        <v>0</v>
      </c>
    </row>
    <row r="163" spans="1:19">
      <c r="A163" s="5">
        <v>46142</v>
      </c>
      <c r="B163" t="s">
        <v>281</v>
      </c>
      <c r="C163" t="s">
        <v>30</v>
      </c>
      <c r="D163" t="s">
        <v>281</v>
      </c>
      <c r="E163" t="s">
        <v>243</v>
      </c>
      <c r="F163" s="9">
        <v>-6000</v>
      </c>
      <c r="G163" s="11">
        <f t="shared" si="9"/>
        <v>36860</v>
      </c>
      <c r="H163" t="s">
        <v>36</v>
      </c>
      <c r="I163" t="s">
        <v>37</v>
      </c>
      <c r="J163" t="s">
        <v>38</v>
      </c>
      <c r="K163" t="s">
        <v>248</v>
      </c>
      <c r="L163" t="s">
        <v>269</v>
      </c>
      <c r="O163" s="15">
        <v>0</v>
      </c>
      <c r="P163" s="16">
        <f t="shared" si="8"/>
        <v>0</v>
      </c>
    </row>
    <row r="164" spans="1:19">
      <c r="A164" s="5">
        <v>46142</v>
      </c>
      <c r="B164" t="s">
        <v>281</v>
      </c>
      <c r="C164" t="s">
        <v>30</v>
      </c>
      <c r="D164" t="s">
        <v>281</v>
      </c>
      <c r="E164" t="s">
        <v>244</v>
      </c>
      <c r="F164" s="9">
        <v>-8500</v>
      </c>
      <c r="G164" s="11">
        <f t="shared" si="9"/>
        <v>28360</v>
      </c>
      <c r="H164" t="s">
        <v>36</v>
      </c>
      <c r="I164" t="s">
        <v>37</v>
      </c>
      <c r="J164" t="s">
        <v>38</v>
      </c>
      <c r="K164" t="s">
        <v>248</v>
      </c>
      <c r="L164" t="s">
        <v>269</v>
      </c>
      <c r="O164" s="15">
        <v>0</v>
      </c>
      <c r="P164" s="16">
        <f t="shared" si="8"/>
        <v>0</v>
      </c>
    </row>
    <row r="167" spans="1:19">
      <c r="E167" t="s">
        <v>252</v>
      </c>
      <c r="F167" s="9">
        <f>SUBTOTAL(9,F3:F164)</f>
        <v>-22740</v>
      </c>
      <c r="G167" s="9">
        <v>26800</v>
      </c>
    </row>
    <row r="168" spans="1:19">
      <c r="E168" t="s">
        <v>253</v>
      </c>
      <c r="F168" s="9">
        <f>(26800/4)</f>
        <v>6700</v>
      </c>
      <c r="G168" s="9">
        <v>6700</v>
      </c>
    </row>
    <row r="169" spans="1:19">
      <c r="E169" t="s">
        <v>200</v>
      </c>
      <c r="F169" s="9">
        <f>SUBTOTAL(9,F2:F164)</f>
        <v>27260</v>
      </c>
      <c r="G169" s="9">
        <f>(5460/4)</f>
        <v>1365</v>
      </c>
    </row>
    <row r="170" spans="1:19">
      <c r="E170" t="s">
        <v>258</v>
      </c>
      <c r="G170" s="9">
        <f>(G168-G169)</f>
        <v>5335</v>
      </c>
      <c r="H170" t="s">
        <v>259</v>
      </c>
    </row>
    <row r="171" spans="1:19">
      <c r="A171" s="21" t="s">
        <v>264</v>
      </c>
    </row>
    <row r="172" spans="1:19">
      <c r="A172" t="s">
        <v>254</v>
      </c>
      <c r="C172" s="20">
        <v>28660</v>
      </c>
    </row>
    <row r="173" spans="1:19">
      <c r="A173" t="s">
        <v>255</v>
      </c>
      <c r="C173" s="25">
        <v>6700</v>
      </c>
    </row>
    <row r="174" spans="1:19">
      <c r="A174" t="s">
        <v>256</v>
      </c>
      <c r="B174" t="s">
        <v>257</v>
      </c>
      <c r="C174" s="25">
        <v>5335</v>
      </c>
    </row>
    <row r="175" spans="1:19">
      <c r="A175" t="s">
        <v>260</v>
      </c>
      <c r="C175" s="9">
        <v>1365</v>
      </c>
    </row>
    <row r="176" spans="1:19">
      <c r="A176" t="s">
        <v>261</v>
      </c>
      <c r="C176" s="23">
        <f>(C172/C174)</f>
        <v>5.3720712277413307</v>
      </c>
      <c r="D176" t="s">
        <v>262</v>
      </c>
    </row>
    <row r="178" spans="1:2">
      <c r="A178" s="21" t="s">
        <v>265</v>
      </c>
      <c r="B178" s="22">
        <f>((B179-B180-B181)/B179)</f>
        <v>0.82967032967032972</v>
      </c>
    </row>
    <row r="179" spans="1:2">
      <c r="A179" t="s">
        <v>266</v>
      </c>
      <c r="B179" s="9">
        <v>5460</v>
      </c>
    </row>
    <row r="180" spans="1:2">
      <c r="A180" t="s">
        <v>267</v>
      </c>
      <c r="B180" s="16">
        <f>(B179*0.05)</f>
        <v>273</v>
      </c>
    </row>
    <row r="181" spans="1:2">
      <c r="A181" t="s">
        <v>268</v>
      </c>
      <c r="B181" s="9">
        <v>657</v>
      </c>
    </row>
    <row r="183" spans="1:2">
      <c r="A183" s="21" t="s">
        <v>272</v>
      </c>
      <c r="B183" s="26">
        <f>(B184+B185+B186+B187)/139</f>
        <v>184.3884892086331</v>
      </c>
    </row>
    <row r="184" spans="1:2">
      <c r="A184" t="s">
        <v>273</v>
      </c>
      <c r="B184" s="9">
        <v>200</v>
      </c>
    </row>
    <row r="185" spans="1:2">
      <c r="A185" t="s">
        <v>245</v>
      </c>
      <c r="B185" s="9">
        <v>24500</v>
      </c>
    </row>
    <row r="186" spans="1:2">
      <c r="A186" t="s">
        <v>267</v>
      </c>
      <c r="B186" s="9">
        <v>273</v>
      </c>
    </row>
    <row r="187" spans="1:2">
      <c r="A187" t="s">
        <v>283</v>
      </c>
      <c r="B187" s="9">
        <v>657</v>
      </c>
    </row>
    <row r="188" spans="1:2">
      <c r="A188" t="s">
        <v>274</v>
      </c>
      <c r="B188" s="24">
        <v>139</v>
      </c>
    </row>
    <row r="190" spans="1:2">
      <c r="A190" s="21" t="s">
        <v>275</v>
      </c>
      <c r="B190" s="22">
        <f>(B192/B191)</f>
        <v>4.1095890410958902E-2</v>
      </c>
    </row>
    <row r="191" spans="1:2">
      <c r="A191" t="s">
        <v>276</v>
      </c>
      <c r="B191">
        <v>146</v>
      </c>
    </row>
    <row r="192" spans="1:2">
      <c r="A192" t="s">
        <v>277</v>
      </c>
      <c r="B192">
        <v>6</v>
      </c>
    </row>
    <row r="194" spans="1:2">
      <c r="A194" s="21" t="s">
        <v>278</v>
      </c>
      <c r="B194" s="9">
        <f>(5460/146)</f>
        <v>37.397260273972606</v>
      </c>
    </row>
    <row r="196" spans="1:2">
      <c r="A196" s="21" t="s">
        <v>279</v>
      </c>
    </row>
  </sheetData>
  <autoFilter ref="A1:Q164" xr:uid="{1EA1566C-F397-4C46-93C6-2EF2FA35FD4D}"/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calculos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PAYE ARROYO</dc:creator>
  <cp:lastModifiedBy>María Paye</cp:lastModifiedBy>
  <dcterms:created xsi:type="dcterms:W3CDTF">2026-03-22T11:40:13Z</dcterms:created>
  <dcterms:modified xsi:type="dcterms:W3CDTF">2026-06-21T19:54:19Z</dcterms:modified>
</cp:coreProperties>
</file>