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álculo 4 Pilares" sheetId="2" state="visible" r:id="rId2"/>
    <sheet xmlns:r="http://schemas.openxmlformats.org/officeDocument/2006/relationships" name="Indicadores no calcul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"/>
  </numFmts>
  <fonts count="6">
    <font>
      <name val="Calibri"/>
      <family val="2"/>
      <color theme="1"/>
      <sz val="11"/>
      <scheme val="minor"/>
    </font>
    <font>
      <b val="1"/>
    </font>
    <font>
      <i val="1"/>
      <color rgb="0064748B"/>
      <sz val="9"/>
    </font>
    <font>
      <b val="1"/>
      <color rgb="00FFFFFF"/>
      <sz val="11"/>
    </font>
    <font>
      <b val="1"/>
      <color rgb="001E3C72"/>
      <sz val="13"/>
    </font>
    <font>
      <b val="1"/>
      <color rgb="001E3C72"/>
      <sz val="12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E3C7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64" fontId="0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1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Caja Inicial (antes del primer mes)</t>
        </is>
      </c>
      <c r="B1" s="2" t="n">
        <v>30000</v>
      </c>
    </row>
    <row r="3">
      <c r="A3" s="3" t="inlineStr">
        <is>
          <t>Introduce un mes por fila. Ingresos y Gastos deben ser importes positivos.</t>
        </is>
      </c>
    </row>
    <row r="4">
      <c r="A4" s="4" t="inlineStr">
        <is>
          <t>Mes (AAAA-MM)</t>
        </is>
      </c>
      <c r="B4" s="4" t="inlineStr">
        <is>
          <t>Ingresos (€)</t>
        </is>
      </c>
      <c r="C4" s="4" t="inlineStr">
        <is>
          <t>Gastos (€)</t>
        </is>
      </c>
    </row>
    <row r="5">
      <c r="A5" s="5" t="inlineStr">
        <is>
          <t>2025-07</t>
        </is>
      </c>
      <c r="B5" s="6" t="n">
        <v>4200</v>
      </c>
      <c r="C5" s="6" t="n">
        <v>7100</v>
      </c>
    </row>
    <row r="6">
      <c r="A6" s="5" t="inlineStr">
        <is>
          <t>2025-08</t>
        </is>
      </c>
      <c r="B6" s="6" t="n">
        <v>3800</v>
      </c>
      <c r="C6" s="6" t="n">
        <v>6950</v>
      </c>
    </row>
    <row r="7">
      <c r="A7" s="5" t="inlineStr">
        <is>
          <t>2025-09</t>
        </is>
      </c>
      <c r="B7" s="6" t="n">
        <v>3950</v>
      </c>
      <c r="C7" s="6" t="n">
        <v>6800</v>
      </c>
    </row>
    <row r="8">
      <c r="A8" s="5" t="inlineStr">
        <is>
          <t>2025-10</t>
        </is>
      </c>
      <c r="B8" s="6" t="n">
        <v>4100</v>
      </c>
      <c r="C8" s="6" t="n">
        <v>6900</v>
      </c>
    </row>
    <row r="9">
      <c r="A9" s="5" t="inlineStr">
        <is>
          <t>2025-11</t>
        </is>
      </c>
      <c r="B9" s="6" t="n">
        <v>3900</v>
      </c>
      <c r="C9" s="6" t="n">
        <v>6850</v>
      </c>
    </row>
    <row r="10">
      <c r="A10" s="5" t="inlineStr">
        <is>
          <t>2025-12</t>
        </is>
      </c>
      <c r="B10" s="6" t="n">
        <v>4050</v>
      </c>
      <c r="C10" s="6" t="n">
        <v>6900</v>
      </c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7" t="inlineStr">
        <is>
          <t>Cálculo de indicadores de los 4 Pilares a partir de datos mensuales agregados</t>
        </is>
      </c>
    </row>
    <row r="3" ht="32" customHeight="1">
      <c r="A3" s="4" t="inlineStr">
        <is>
          <t>Mes</t>
        </is>
      </c>
      <c r="B3" s="4" t="inlineStr">
        <is>
          <t>Ingresos (€)</t>
        </is>
      </c>
      <c r="C3" s="4" t="inlineStr">
        <is>
          <t>Gastos (€)
= Gross Burn Rate</t>
        </is>
      </c>
      <c r="D3" s="4" t="inlineStr">
        <is>
          <t>Net Burn Rate (€)
= Gastos − Ingresos</t>
        </is>
      </c>
      <c r="E3" s="4" t="inlineStr">
        <is>
          <t>Caja Disponible (€)
(acumulada)</t>
        </is>
      </c>
      <c r="F3" s="4" t="inlineStr">
        <is>
          <t>MoM Growth (%)
(sobre Ingresos)</t>
        </is>
      </c>
    </row>
    <row r="4">
      <c r="A4" s="5">
        <f>Datos!A5</f>
        <v/>
      </c>
      <c r="B4" s="6">
        <f>Datos!B5</f>
        <v/>
      </c>
      <c r="C4" s="6">
        <f>Datos!C5</f>
        <v/>
      </c>
      <c r="D4" s="6">
        <f>IF(Datos!A5="","",C4-B4)</f>
        <v/>
      </c>
      <c r="E4" s="6">
        <f>IF(Datos!A5="","",Datos!$B$1+B4-C4)</f>
        <v/>
      </c>
      <c r="F4" s="8" t="inlineStr"/>
    </row>
    <row r="5">
      <c r="A5" s="5">
        <f>Datos!A6</f>
        <v/>
      </c>
      <c r="B5" s="6">
        <f>Datos!B6</f>
        <v/>
      </c>
      <c r="C5" s="6">
        <f>Datos!C6</f>
        <v/>
      </c>
      <c r="D5" s="6">
        <f>IF(Datos!A6="","",C5-B5)</f>
        <v/>
      </c>
      <c r="E5" s="6">
        <f>IF(Datos!A6="","",E4+B5-C5)</f>
        <v/>
      </c>
      <c r="F5" s="8">
        <f>IF(OR(Datos!A6="",Datos!A5=""),"",IF(B4=0,"",(B5-B4)/B4))</f>
        <v/>
      </c>
    </row>
    <row r="6">
      <c r="A6" s="5">
        <f>Datos!A7</f>
        <v/>
      </c>
      <c r="B6" s="6">
        <f>Datos!B7</f>
        <v/>
      </c>
      <c r="C6" s="6">
        <f>Datos!C7</f>
        <v/>
      </c>
      <c r="D6" s="6">
        <f>IF(Datos!A7="","",C6-B6)</f>
        <v/>
      </c>
      <c r="E6" s="6">
        <f>IF(Datos!A7="","",E5+B6-C6)</f>
        <v/>
      </c>
      <c r="F6" s="8">
        <f>IF(OR(Datos!A7="",Datos!A6=""),"",IF(B5=0,"",(B6-B5)/B5))</f>
        <v/>
      </c>
    </row>
    <row r="7">
      <c r="A7" s="5">
        <f>Datos!A8</f>
        <v/>
      </c>
      <c r="B7" s="6">
        <f>Datos!B8</f>
        <v/>
      </c>
      <c r="C7" s="6">
        <f>Datos!C8</f>
        <v/>
      </c>
      <c r="D7" s="6">
        <f>IF(Datos!A8="","",C7-B7)</f>
        <v/>
      </c>
      <c r="E7" s="6">
        <f>IF(Datos!A8="","",E6+B7-C7)</f>
        <v/>
      </c>
      <c r="F7" s="8">
        <f>IF(OR(Datos!A8="",Datos!A7=""),"",IF(B6=0,"",(B7-B6)/B6))</f>
        <v/>
      </c>
    </row>
    <row r="8">
      <c r="A8" s="5">
        <f>Datos!A9</f>
        <v/>
      </c>
      <c r="B8" s="6">
        <f>Datos!B9</f>
        <v/>
      </c>
      <c r="C8" s="6">
        <f>Datos!C9</f>
        <v/>
      </c>
      <c r="D8" s="6">
        <f>IF(Datos!A9="","",C8-B8)</f>
        <v/>
      </c>
      <c r="E8" s="6">
        <f>IF(Datos!A9="","",E7+B8-C8)</f>
        <v/>
      </c>
      <c r="F8" s="8">
        <f>IF(OR(Datos!A9="",Datos!A8=""),"",IF(B7=0,"",(B8-B7)/B7))</f>
        <v/>
      </c>
    </row>
    <row r="9">
      <c r="A9" s="5">
        <f>Datos!A10</f>
        <v/>
      </c>
      <c r="B9" s="6">
        <f>Datos!B10</f>
        <v/>
      </c>
      <c r="C9" s="6">
        <f>Datos!C10</f>
        <v/>
      </c>
      <c r="D9" s="6">
        <f>IF(Datos!A10="","",C9-B9)</f>
        <v/>
      </c>
      <c r="E9" s="6">
        <f>IF(Datos!A10="","",E8+B9-C9)</f>
        <v/>
      </c>
      <c r="F9" s="8">
        <f>IF(OR(Datos!A10="",Datos!A9=""),"",IF(B8=0,"",(B9-B8)/B8))</f>
        <v/>
      </c>
    </row>
    <row r="10">
      <c r="A10" s="5">
        <f>Datos!A11</f>
        <v/>
      </c>
      <c r="B10" s="6">
        <f>Datos!B11</f>
        <v/>
      </c>
      <c r="C10" s="6">
        <f>Datos!C11</f>
        <v/>
      </c>
      <c r="D10" s="6">
        <f>IF(Datos!A11="","",C10-B10)</f>
        <v/>
      </c>
      <c r="E10" s="6">
        <f>IF(Datos!A11="","",E9+B10-C10)</f>
        <v/>
      </c>
      <c r="F10" s="8">
        <f>IF(OR(Datos!A11="",Datos!A10=""),"",IF(B9=0,"",(B10-B9)/B9))</f>
        <v/>
      </c>
    </row>
    <row r="11">
      <c r="A11" s="5">
        <f>Datos!A12</f>
        <v/>
      </c>
      <c r="B11" s="6">
        <f>Datos!B12</f>
        <v/>
      </c>
      <c r="C11" s="6">
        <f>Datos!C12</f>
        <v/>
      </c>
      <c r="D11" s="6">
        <f>IF(Datos!A12="","",C11-B11)</f>
        <v/>
      </c>
      <c r="E11" s="6">
        <f>IF(Datos!A12="","",E10+B11-C11)</f>
        <v/>
      </c>
      <c r="F11" s="8">
        <f>IF(OR(Datos!A12="",Datos!A11=""),"",IF(B10=0,"",(B11-B10)/B10))</f>
        <v/>
      </c>
    </row>
    <row r="12">
      <c r="A12" s="5">
        <f>Datos!A13</f>
        <v/>
      </c>
      <c r="B12" s="6">
        <f>Datos!B13</f>
        <v/>
      </c>
      <c r="C12" s="6">
        <f>Datos!C13</f>
        <v/>
      </c>
      <c r="D12" s="6">
        <f>IF(Datos!A13="","",C12-B12)</f>
        <v/>
      </c>
      <c r="E12" s="6">
        <f>IF(Datos!A13="","",E11+B12-C12)</f>
        <v/>
      </c>
      <c r="F12" s="8">
        <f>IF(OR(Datos!A13="",Datos!A12=""),"",IF(B11=0,"",(B12-B11)/B11))</f>
        <v/>
      </c>
    </row>
    <row r="13">
      <c r="A13" s="5">
        <f>Datos!A14</f>
        <v/>
      </c>
      <c r="B13" s="6">
        <f>Datos!B14</f>
        <v/>
      </c>
      <c r="C13" s="6">
        <f>Datos!C14</f>
        <v/>
      </c>
      <c r="D13" s="6">
        <f>IF(Datos!A14="","",C13-B13)</f>
        <v/>
      </c>
      <c r="E13" s="6">
        <f>IF(Datos!A14="","",E12+B13-C13)</f>
        <v/>
      </c>
      <c r="F13" s="8">
        <f>IF(OR(Datos!A14="",Datos!A13=""),"",IF(B12=0,"",(B13-B12)/B12))</f>
        <v/>
      </c>
    </row>
    <row r="14">
      <c r="A14" s="5">
        <f>Datos!A15</f>
        <v/>
      </c>
      <c r="B14" s="6">
        <f>Datos!B15</f>
        <v/>
      </c>
      <c r="C14" s="6">
        <f>Datos!C15</f>
        <v/>
      </c>
      <c r="D14" s="6">
        <f>IF(Datos!A15="","",C14-B14)</f>
        <v/>
      </c>
      <c r="E14" s="6">
        <f>IF(Datos!A15="","",E13+B14-C14)</f>
        <v/>
      </c>
      <c r="F14" s="8">
        <f>IF(OR(Datos!A15="",Datos!A14=""),"",IF(B13=0,"",(B14-B13)/B13))</f>
        <v/>
      </c>
    </row>
    <row r="15">
      <c r="A15" s="5">
        <f>Datos!A16</f>
        <v/>
      </c>
      <c r="B15" s="6">
        <f>Datos!B16</f>
        <v/>
      </c>
      <c r="C15" s="6">
        <f>Datos!C16</f>
        <v/>
      </c>
      <c r="D15" s="6">
        <f>IF(Datos!A16="","",C15-B15)</f>
        <v/>
      </c>
      <c r="E15" s="6">
        <f>IF(Datos!A16="","",E14+B15-C15)</f>
        <v/>
      </c>
      <c r="F15" s="8">
        <f>IF(OR(Datos!A16="",Datos!A15=""),"",IF(B14=0,"",(B15-B14)/B14))</f>
        <v/>
      </c>
    </row>
    <row r="16">
      <c r="A16" s="5">
        <f>Datos!A17</f>
        <v/>
      </c>
      <c r="B16" s="6">
        <f>Datos!B17</f>
        <v/>
      </c>
      <c r="C16" s="6">
        <f>Datos!C17</f>
        <v/>
      </c>
      <c r="D16" s="6">
        <f>IF(Datos!A17="","",C16-B16)</f>
        <v/>
      </c>
      <c r="E16" s="6">
        <f>IF(Datos!A17="","",E15+B16-C16)</f>
        <v/>
      </c>
      <c r="F16" s="8">
        <f>IF(OR(Datos!A17="",Datos!A16=""),"",IF(B15=0,"",(B16-B15)/B15))</f>
        <v/>
      </c>
    </row>
    <row r="17">
      <c r="A17" s="5">
        <f>Datos!A18</f>
        <v/>
      </c>
      <c r="B17" s="6">
        <f>Datos!B18</f>
        <v/>
      </c>
      <c r="C17" s="6">
        <f>Datos!C18</f>
        <v/>
      </c>
      <c r="D17" s="6">
        <f>IF(Datos!A18="","",C17-B17)</f>
        <v/>
      </c>
      <c r="E17" s="6">
        <f>IF(Datos!A18="","",E16+B17-C17)</f>
        <v/>
      </c>
      <c r="F17" s="8">
        <f>IF(OR(Datos!A18="",Datos!A17=""),"",IF(B16=0,"",(B17-B16)/B16))</f>
        <v/>
      </c>
    </row>
    <row r="18">
      <c r="A18" s="5">
        <f>Datos!A19</f>
        <v/>
      </c>
      <c r="B18" s="6">
        <f>Datos!B19</f>
        <v/>
      </c>
      <c r="C18" s="6">
        <f>Datos!C19</f>
        <v/>
      </c>
      <c r="D18" s="6">
        <f>IF(Datos!A19="","",C18-B18)</f>
        <v/>
      </c>
      <c r="E18" s="6">
        <f>IF(Datos!A19="","",E17+B18-C18)</f>
        <v/>
      </c>
      <c r="F18" s="8">
        <f>IF(OR(Datos!A19="",Datos!A18=""),"",IF(B17=0,"",(B18-B17)/B17))</f>
        <v/>
      </c>
    </row>
    <row r="19">
      <c r="A19" s="5">
        <f>Datos!A20</f>
        <v/>
      </c>
      <c r="B19" s="6">
        <f>Datos!B20</f>
        <v/>
      </c>
      <c r="C19" s="6">
        <f>Datos!C20</f>
        <v/>
      </c>
      <c r="D19" s="6">
        <f>IF(Datos!A20="","",C19-B19)</f>
        <v/>
      </c>
      <c r="E19" s="6">
        <f>IF(Datos!A20="","",E18+B19-C19)</f>
        <v/>
      </c>
      <c r="F19" s="8">
        <f>IF(OR(Datos!A20="",Datos!A19=""),"",IF(B18=0,"",(B19-B18)/B18))</f>
        <v/>
      </c>
    </row>
    <row r="20">
      <c r="A20" s="5">
        <f>Datos!A21</f>
        <v/>
      </c>
      <c r="B20" s="6">
        <f>Datos!B21</f>
        <v/>
      </c>
      <c r="C20" s="6">
        <f>Datos!C21</f>
        <v/>
      </c>
      <c r="D20" s="6">
        <f>IF(Datos!A21="","",C20-B20)</f>
        <v/>
      </c>
      <c r="E20" s="6">
        <f>IF(Datos!A21="","",E19+B20-C20)</f>
        <v/>
      </c>
      <c r="F20" s="8">
        <f>IF(OR(Datos!A21="",Datos!A20=""),"",IF(B19=0,"",(B20-B19)/B19))</f>
        <v/>
      </c>
    </row>
    <row r="21">
      <c r="A21" s="5">
        <f>Datos!A22</f>
        <v/>
      </c>
      <c r="B21" s="6">
        <f>Datos!B22</f>
        <v/>
      </c>
      <c r="C21" s="6">
        <f>Datos!C22</f>
        <v/>
      </c>
      <c r="D21" s="6">
        <f>IF(Datos!A22="","",C21-B21)</f>
        <v/>
      </c>
      <c r="E21" s="6">
        <f>IF(Datos!A22="","",E20+B21-C21)</f>
        <v/>
      </c>
      <c r="F21" s="8">
        <f>IF(OR(Datos!A22="",Datos!A21=""),"",IF(B20=0,"",(B21-B20)/B20))</f>
        <v/>
      </c>
    </row>
    <row r="22">
      <c r="A22" s="5">
        <f>Datos!A23</f>
        <v/>
      </c>
      <c r="B22" s="6">
        <f>Datos!B23</f>
        <v/>
      </c>
      <c r="C22" s="6">
        <f>Datos!C23</f>
        <v/>
      </c>
      <c r="D22" s="6">
        <f>IF(Datos!A23="","",C22-B22)</f>
        <v/>
      </c>
      <c r="E22" s="6">
        <f>IF(Datos!A23="","",E21+B22-C22)</f>
        <v/>
      </c>
      <c r="F22" s="8">
        <f>IF(OR(Datos!A23="",Datos!A22=""),"",IF(B21=0,"",(B22-B21)/B21))</f>
        <v/>
      </c>
    </row>
    <row r="23">
      <c r="A23" s="5">
        <f>Datos!A24</f>
        <v/>
      </c>
      <c r="B23" s="6">
        <f>Datos!B24</f>
        <v/>
      </c>
      <c r="C23" s="6">
        <f>Datos!C24</f>
        <v/>
      </c>
      <c r="D23" s="6">
        <f>IF(Datos!A24="","",C23-B23)</f>
        <v/>
      </c>
      <c r="E23" s="6">
        <f>IF(Datos!A24="","",E22+B23-C23)</f>
        <v/>
      </c>
      <c r="F23" s="8">
        <f>IF(OR(Datos!A24="",Datos!A23=""),"",IF(B22=0,"",(B23-B22)/B22))</f>
        <v/>
      </c>
    </row>
    <row r="24">
      <c r="A24" s="5">
        <f>Datos!A25</f>
        <v/>
      </c>
      <c r="B24" s="6">
        <f>Datos!B25</f>
        <v/>
      </c>
      <c r="C24" s="6">
        <f>Datos!C25</f>
        <v/>
      </c>
      <c r="D24" s="6">
        <f>IF(Datos!A25="","",C24-B24)</f>
        <v/>
      </c>
      <c r="E24" s="6">
        <f>IF(Datos!A25="","",E23+B24-C24)</f>
        <v/>
      </c>
      <c r="F24" s="8">
        <f>IF(OR(Datos!A25="",Datos!A24=""),"",IF(B23=0,"",(B24-B23)/B23))</f>
        <v/>
      </c>
    </row>
    <row r="25">
      <c r="A25" s="5">
        <f>Datos!A26</f>
        <v/>
      </c>
      <c r="B25" s="6">
        <f>Datos!B26</f>
        <v/>
      </c>
      <c r="C25" s="6">
        <f>Datos!C26</f>
        <v/>
      </c>
      <c r="D25" s="6">
        <f>IF(Datos!A26="","",C25-B25)</f>
        <v/>
      </c>
      <c r="E25" s="6">
        <f>IF(Datos!A26="","",E24+B25-C25)</f>
        <v/>
      </c>
      <c r="F25" s="8">
        <f>IF(OR(Datos!A26="",Datos!A25=""),"",IF(B24=0,"",(B25-B24)/B24))</f>
        <v/>
      </c>
    </row>
    <row r="26">
      <c r="A26" s="5">
        <f>Datos!A27</f>
        <v/>
      </c>
      <c r="B26" s="6">
        <f>Datos!B27</f>
        <v/>
      </c>
      <c r="C26" s="6">
        <f>Datos!C27</f>
        <v/>
      </c>
      <c r="D26" s="6">
        <f>IF(Datos!A27="","",C26-B26)</f>
        <v/>
      </c>
      <c r="E26" s="6">
        <f>IF(Datos!A27="","",E25+B26-C26)</f>
        <v/>
      </c>
      <c r="F26" s="8">
        <f>IF(OR(Datos!A27="",Datos!A26=""),"",IF(B25=0,"",(B26-B25)/B25))</f>
        <v/>
      </c>
    </row>
    <row r="27">
      <c r="A27" s="5">
        <f>Datos!A28</f>
        <v/>
      </c>
      <c r="B27" s="6">
        <f>Datos!B28</f>
        <v/>
      </c>
      <c r="C27" s="6">
        <f>Datos!C28</f>
        <v/>
      </c>
      <c r="D27" s="6">
        <f>IF(Datos!A28="","",C27-B27)</f>
        <v/>
      </c>
      <c r="E27" s="6">
        <f>IF(Datos!A28="","",E26+B27-C27)</f>
        <v/>
      </c>
      <c r="F27" s="8">
        <f>IF(OR(Datos!A28="",Datos!A27=""),"",IF(B26=0,"",(B27-B26)/B26))</f>
        <v/>
      </c>
    </row>
    <row r="30">
      <c r="A30" s="9" t="inlineStr">
        <is>
          <t>Resumen — Cash Management</t>
        </is>
      </c>
    </row>
    <row r="31">
      <c r="A31" s="10" t="inlineStr">
        <is>
          <t>Gross Burn Rate promedio (€/mes)</t>
        </is>
      </c>
      <c r="B31" s="6">
        <f>AVERAGE(C4:C27)</f>
        <v/>
      </c>
    </row>
    <row r="32">
      <c r="A32" s="10" t="inlineStr">
        <is>
          <t>Net Burn Rate promedio (€/mes)</t>
        </is>
      </c>
      <c r="B32" s="6">
        <f>AVERAGE(D4:D27)</f>
        <v/>
      </c>
    </row>
    <row r="33">
      <c r="A33" s="10" t="inlineStr">
        <is>
          <t>Caja Disponible (último mes, €)</t>
        </is>
      </c>
      <c r="B33" s="6">
        <f>LOOKUP(2,1/(E4:E27&lt;&gt;""),E4:E27)</f>
        <v/>
      </c>
    </row>
    <row r="34">
      <c r="A34" s="10" t="inlineStr">
        <is>
          <t>Tipo de métrica</t>
        </is>
      </c>
      <c r="B34" s="5">
        <f>IF(B32&gt;0,"Runway (Net Burn &gt; 0)",IF(B32=0,"Equilibrio (Net Burn = 0)","Meses de Reserva (Net Burn &lt; 0, rentable)"))</f>
        <v/>
      </c>
    </row>
    <row r="35">
      <c r="A35" s="10" t="inlineStr">
        <is>
          <t>Runway / Meses de Reserva (meses)</t>
        </is>
      </c>
      <c r="B35" s="11">
        <f>IF(B32&gt;0,B33/B32,IF(B32=0,"∞ (equilibrio)",B33/B31))</f>
        <v/>
      </c>
    </row>
    <row r="37" ht="45" customHeight="1">
      <c r="A37" s="12" t="inlineStr">
        <is>
          <t>Nota: con datos mensuales agregados (sin desglose de Categoría/Subcategoría, ID Cliente, Comercializadora, Fecha de Baja ni Fecha de Activación) solo pueden calcularse Gross Burn Rate, Net Burn Rate, Caja Disponible, Runway/Meses de Reserva (Pilar 1: Cash Management) y MoM Growth (Pilar 3: Crecimiento).</t>
        </is>
      </c>
    </row>
  </sheetData>
  <mergeCells count="2">
    <mergeCell ref="A37:F3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5" customWidth="1" min="3" max="3"/>
  </cols>
  <sheetData>
    <row r="1">
      <c r="A1" s="9" t="inlineStr">
        <is>
          <t>Indicadores de los 4 Pilares que NO pueden calcularse con datos mensuales agregados</t>
        </is>
      </c>
    </row>
    <row r="3">
      <c r="A3" s="4" t="inlineStr">
        <is>
          <t>Pilar</t>
        </is>
      </c>
      <c r="B3" s="4" t="inlineStr">
        <is>
          <t>Indicador</t>
        </is>
      </c>
      <c r="C3" s="4" t="inlineStr">
        <is>
          <t>Dato adicional que requeriría</t>
        </is>
      </c>
    </row>
    <row r="4" ht="30" customHeight="1">
      <c r="A4" s="13" t="inlineStr">
        <is>
          <t>Eficiencia</t>
        </is>
      </c>
      <c r="B4" s="13" t="inlineStr">
        <is>
          <t>Margen de Contribución</t>
        </is>
      </c>
      <c r="C4" s="13" t="inlineStr">
        <is>
          <t>Importe de venta individual, Comisión Comercial y Coste por lead de cada venta</t>
        </is>
      </c>
    </row>
    <row r="5" ht="30" customHeight="1">
      <c r="A5" s="13" t="inlineStr">
        <is>
          <t>Eficiencia</t>
        </is>
      </c>
      <c r="B5" s="13" t="inlineStr">
        <is>
          <t>CAC (Customer Acquisition Cost)</t>
        </is>
      </c>
      <c r="C5" s="13" t="inlineStr">
        <is>
          <t>Gasto de Marketing y de Venta por categoría, y nº de clientes nuevos (CANAL/NUEVO)</t>
        </is>
      </c>
    </row>
    <row r="6" ht="30" customHeight="1">
      <c r="A6" s="13" t="inlineStr">
        <is>
          <t>Eficiencia</t>
        </is>
      </c>
      <c r="B6" s="13" t="inlineStr">
        <is>
          <t>LTV (Lifetime Value)</t>
        </is>
      </c>
      <c r="C6" s="13" t="inlineStr">
        <is>
          <t>Ingreso Medio por Cliente (ID Cliente) y Churn Rate, que a su vez requiere Fecha de Baja por venta</t>
        </is>
      </c>
    </row>
    <row r="7" ht="30" customHeight="1">
      <c r="A7" s="13" t="inlineStr">
        <is>
          <t>Eficiencia</t>
        </is>
      </c>
      <c r="B7" s="13" t="inlineStr">
        <is>
          <t>Churn Rate</t>
        </is>
      </c>
      <c r="C7" s="13" t="inlineStr">
        <is>
          <t>ID Cliente y Fecha de Baja de cada venta</t>
        </is>
      </c>
    </row>
    <row r="8" ht="30" customHeight="1">
      <c r="A8" s="13" t="inlineStr">
        <is>
          <t>Eficiencia</t>
        </is>
      </c>
      <c r="B8" s="13" t="inlineStr">
        <is>
          <t>ROI por Subcanal</t>
        </is>
      </c>
      <c r="C8" s="13" t="inlineStr">
        <is>
          <t>Gasto e ingresos desglosados por Subcanal de marketing</t>
        </is>
      </c>
    </row>
    <row r="9" ht="30" customHeight="1">
      <c r="A9" s="13" t="inlineStr">
        <is>
          <t>Crecimiento</t>
        </is>
      </c>
      <c r="B9" s="13" t="inlineStr">
        <is>
          <t>Ventas por Categoría/Sector y por Canal</t>
        </is>
      </c>
      <c r="C9" s="13" t="inlineStr">
        <is>
          <t>Categoría (Energía/Telefonía/Placas Solares/Alarmas) y Canal/Subcanal de cada venta</t>
        </is>
      </c>
    </row>
    <row r="10" ht="30" customHeight="1">
      <c r="A10" s="13" t="inlineStr">
        <is>
          <t>OpEx</t>
        </is>
      </c>
      <c r="B10" s="13" t="inlineStr">
        <is>
          <t>Gastos por Categoría</t>
        </is>
      </c>
      <c r="C10" s="13" t="inlineStr">
        <is>
          <t>Categoría (Personal, Marketing, Software, Oficina, etc.) de cada gasto</t>
        </is>
      </c>
    </row>
    <row r="11" ht="30" customHeight="1">
      <c r="A11" s="13" t="inlineStr">
        <is>
          <t>Cash Management / Bajas</t>
        </is>
      </c>
      <c r="B11" s="13" t="inlineStr">
        <is>
          <t>% de Bajas y Bajas por Comercializadora</t>
        </is>
      </c>
      <c r="C11" s="13" t="inlineStr">
        <is>
          <t>Comercializadora y Fecha de Baja de cada venta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2026-10-13T01:18:58Z</dcterms:created>
  <dcterms:modified xmlns:dcterms="http://purl.org/dc/terms/" xmlns:xsi="http://www.w3.org/2001/XMLSchema-instance" xsi:type="dcterms:W3CDTF">2026-10-13T01:18:58Z</dcterms:modified>
</cp:coreProperties>
</file>